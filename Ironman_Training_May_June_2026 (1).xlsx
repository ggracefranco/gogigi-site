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giulianafranco/Desktop/"/>
    </mc:Choice>
  </mc:AlternateContent>
  <xr:revisionPtr revIDLastSave="0" documentId="8_{F8DB373E-5DA0-BF48-9B69-42C722BC50BC}" xr6:coauthVersionLast="47" xr6:coauthVersionMax="47" xr10:uidLastSave="{00000000-0000-0000-0000-000000000000}"/>
  <bookViews>
    <workbookView xWindow="0" yWindow="680" windowWidth="16380" windowHeight="17420" tabRatio="500" xr2:uid="{00000000-000D-0000-FFFF-FFFF00000000}"/>
  </bookViews>
  <sheets>
    <sheet name="Training Schedule" sheetId="1" r:id="rId1"/>
    <sheet name="Gear &amp; Purchases" sheetId="2" r:id="rId2"/>
    <sheet name="Swim Sets Reference" sheetId="3" r:id="rId3"/>
    <sheet name="Principles &amp; Red Flags" sheetId="4" r:id="rId4"/>
    <sheet name="Volume Summary" sheetId="5" r:id="rId5"/>
    <sheet name="Race Calendar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5" l="1"/>
  <c r="D13" i="5"/>
  <c r="C13" i="5"/>
  <c r="B13" i="5"/>
  <c r="E12" i="5"/>
  <c r="E11" i="5"/>
  <c r="E10" i="5"/>
  <c r="E13" i="5" s="1"/>
  <c r="E9" i="5"/>
  <c r="E8" i="5"/>
  <c r="E7" i="5"/>
  <c r="E6" i="5"/>
  <c r="E5" i="5"/>
</calcChain>
</file>

<file path=xl/sharedStrings.xml><?xml version="1.0" encoding="utf-8"?>
<sst xmlns="http://schemas.openxmlformats.org/spreadsheetml/2006/main" count="873" uniqueCount="539">
  <si>
    <t>IRONMAN TRAINING — MAY &amp; JUNE 2026</t>
  </si>
  <si>
    <t>Phase 1: Foundation · Days 1–56 · 8 weeks · Powerhouse v2 (Full-Body 3x)</t>
  </si>
  <si>
    <t>Date</t>
  </si>
  <si>
    <t>Day</t>
  </si>
  <si>
    <t>Week</t>
  </si>
  <si>
    <t>Workout</t>
  </si>
  <si>
    <t>Type</t>
  </si>
  <si>
    <t>Duration</t>
  </si>
  <si>
    <t>Done?</t>
  </si>
  <si>
    <t>Notes</t>
  </si>
  <si>
    <t>How It Felt</t>
  </si>
  <si>
    <t>05/04</t>
  </si>
  <si>
    <t>Mon</t>
  </si>
  <si>
    <t>Week 1</t>
  </si>
  <si>
    <t>Powerhouse: Hinge Day (full body)</t>
  </si>
  <si>
    <t>Strength</t>
  </si>
  <si>
    <t>60 min</t>
  </si>
  <si>
    <t>☐</t>
  </si>
  <si>
    <t>Day 1! · Trap bar deadlift heavy · Find baselines</t>
  </si>
  <si>
    <t>05/05</t>
  </si>
  <si>
    <t>Tue</t>
  </si>
  <si>
    <t>Coach Masters swim</t>
  </si>
  <si>
    <t>Swim</t>
  </si>
  <si>
    <t>2,000–2,500y · Modify team set toward aerobic 4-6 × 200</t>
  </si>
  <si>
    <t>05/06</t>
  </si>
  <si>
    <t>Wed</t>
  </si>
  <si>
    <t>Powerhouse: Pull Day + easy Zwift</t>
  </si>
  <si>
    <t>Strength + Bike</t>
  </si>
  <si>
    <t>60 + 30 min</t>
  </si>
  <si>
    <t>Lift AM, easy spin PM (when bike+trainer ready)</t>
  </si>
  <si>
    <t>05/07</t>
  </si>
  <si>
    <t>Thu</t>
  </si>
  <si>
    <t>TRAVEL — San Diego</t>
  </si>
  <si>
    <t>Travel</t>
  </si>
  <si>
    <t>—</t>
  </si>
  <si>
    <t>Travel day · Walk dog before flight · Light stretching only</t>
  </si>
  <si>
    <t>05/08</t>
  </si>
  <si>
    <t>Fri</t>
  </si>
  <si>
    <t>San Diego — easy walk or run</t>
  </si>
  <si>
    <t>Active rest</t>
  </si>
  <si>
    <t>20-30 min</t>
  </si>
  <si>
    <t>Easy beach walk or short run-walk · No lift</t>
  </si>
  <si>
    <t>05/09</t>
  </si>
  <si>
    <t>Sat</t>
  </si>
  <si>
    <t>San Diego — long walk or hike</t>
  </si>
  <si>
    <t>Active</t>
  </si>
  <si>
    <t>Easy aerobic activity · Enjoy travel</t>
  </si>
  <si>
    <t>05/10</t>
  </si>
  <si>
    <t>Sun</t>
  </si>
  <si>
    <t>TRAVEL HOME — full rest</t>
  </si>
  <si>
    <t>Rest</t>
  </si>
  <si>
    <t>Travel home · Full rest day</t>
  </si>
  <si>
    <t>05/11</t>
  </si>
  <si>
    <t>Week 2</t>
  </si>
  <si>
    <t>Powerhouse: Hinge Day + easy spin</t>
  </si>
  <si>
    <t>Back to home routine · Resume training</t>
  </si>
  <si>
    <t>05/12</t>
  </si>
  <si>
    <t>2,500y · Add bilateral breathing drills</t>
  </si>
  <si>
    <t>05/13</t>
  </si>
  <si>
    <t>60 + 45 min</t>
  </si>
  <si>
    <t>Building bike base</t>
  </si>
  <si>
    <t>05/14</t>
  </si>
  <si>
    <t>Coach Masters + Run-Walk PM</t>
  </si>
  <si>
    <t>Swim + Run</t>
  </si>
  <si>
    <t>60 + 20 min</t>
  </si>
  <si>
    <t>Run-walk 1:2 ratio · First run with Hokas</t>
  </si>
  <si>
    <t>05/15</t>
  </si>
  <si>
    <t>Powerhouse: Squat + Power Day</t>
  </si>
  <si>
    <t>Cardio rest day</t>
  </si>
  <si>
    <t>05/16</t>
  </si>
  <si>
    <t>Long Zwift ride</t>
  </si>
  <si>
    <t>Bike</t>
  </si>
  <si>
    <t>Easy aerobic, conversational</t>
  </si>
  <si>
    <t>05/17</t>
  </si>
  <si>
    <t>Long run-walk + rest</t>
  </si>
  <si>
    <t>Run</t>
  </si>
  <si>
    <t>20 min</t>
  </si>
  <si>
    <t>Run-walk 1:2 · check shins</t>
  </si>
  <si>
    <t>05/18</t>
  </si>
  <si>
    <t>Week 3</t>
  </si>
  <si>
    <t>Add weight to deadlift if form solid</t>
  </si>
  <si>
    <t>05/19</t>
  </si>
  <si>
    <t>2,500y</t>
  </si>
  <si>
    <t>05/20</t>
  </si>
  <si>
    <t>05/21</t>
  </si>
  <si>
    <t>60 + 25 min</t>
  </si>
  <si>
    <t>Run-walk 1:2 ratio</t>
  </si>
  <si>
    <t>05/22</t>
  </si>
  <si>
    <t>05/23</t>
  </si>
  <si>
    <t>70 min</t>
  </si>
  <si>
    <t>Easy effort, focus on cadence</t>
  </si>
  <si>
    <t>05/24</t>
  </si>
  <si>
    <t>25 min</t>
  </si>
  <si>
    <t>Run-walk 1:2</t>
  </si>
  <si>
    <t>05/25</t>
  </si>
  <si>
    <t>Week 4</t>
  </si>
  <si>
    <t>Track lift weights weekly in Hevy</t>
  </si>
  <si>
    <t>05/26</t>
  </si>
  <si>
    <t>2,500y · Add pull buoy work</t>
  </si>
  <si>
    <t>05/27</t>
  </si>
  <si>
    <t>05/28</t>
  </si>
  <si>
    <t>Drop-down week for shins</t>
  </si>
  <si>
    <t>05/29</t>
  </si>
  <si>
    <t>05/30</t>
  </si>
  <si>
    <t>75 min</t>
  </si>
  <si>
    <t>First time over 1 hour</t>
  </si>
  <si>
    <t>05/31</t>
  </si>
  <si>
    <t>Run-walk 1:2 · short, easy</t>
  </si>
  <si>
    <t>06/01</t>
  </si>
  <si>
    <t>Week 5</t>
  </si>
  <si>
    <t>Try 2:1 run-walk ratio this week</t>
  </si>
  <si>
    <t>06/02</t>
  </si>
  <si>
    <t>06/03</t>
  </si>
  <si>
    <t>06/04</t>
  </si>
  <si>
    <t>Run-walk 2:1 ratio</t>
  </si>
  <si>
    <t>06/05</t>
  </si>
  <si>
    <t>06/06</t>
  </si>
  <si>
    <t>80 min</t>
  </si>
  <si>
    <t>Building toward 90 min</t>
  </si>
  <si>
    <t>06/07</t>
  </si>
  <si>
    <t>Run-walk 2:1</t>
  </si>
  <si>
    <t>06/08</t>
  </si>
  <si>
    <t>Week 6</t>
  </si>
  <si>
    <t>San Diego trip June 12-14 this weekend</t>
  </si>
  <si>
    <t>06/09</t>
  </si>
  <si>
    <t>06/10</t>
  </si>
  <si>
    <t>06/11</t>
  </si>
  <si>
    <t>06/12</t>
  </si>
  <si>
    <t>Travel day · Light stretching</t>
  </si>
  <si>
    <t>06/13</t>
  </si>
  <si>
    <t>San Diego — short run or beach swim</t>
  </si>
  <si>
    <t>30-45 min</t>
  </si>
  <si>
    <t>Easy effort, enjoy travel</t>
  </si>
  <si>
    <t>06/14</t>
  </si>
  <si>
    <t>Travel home · Full rest</t>
  </si>
  <si>
    <t>06/15</t>
  </si>
  <si>
    <t>Week 7</t>
  </si>
  <si>
    <t>Back to home routine</t>
  </si>
  <si>
    <t>06/16</t>
  </si>
  <si>
    <t>06/17</t>
  </si>
  <si>
    <t>06/18</t>
  </si>
  <si>
    <t>Run-walk 2:1 longer</t>
  </si>
  <si>
    <t>06/19</t>
  </si>
  <si>
    <t>06/20</t>
  </si>
  <si>
    <t>85 min</t>
  </si>
  <si>
    <t>06/21</t>
  </si>
  <si>
    <t>30 min</t>
  </si>
  <si>
    <t>06/22</t>
  </si>
  <si>
    <t>Week 8</t>
  </si>
  <si>
    <t>End of Phase 1 approaching</t>
  </si>
  <si>
    <t>06/23</t>
  </si>
  <si>
    <t>3,000y</t>
  </si>
  <si>
    <t>06/24</t>
  </si>
  <si>
    <t>60 + 50 min</t>
  </si>
  <si>
    <t>06/25</t>
  </si>
  <si>
    <t>60 + 35 min</t>
  </si>
  <si>
    <t>Try 3:1 ratio if shins quiet</t>
  </si>
  <si>
    <t>06/26</t>
  </si>
  <si>
    <t>06/27</t>
  </si>
  <si>
    <t>90 min</t>
  </si>
  <si>
    <t>Hits 90 minutes — milestone</t>
  </si>
  <si>
    <t>06/28</t>
  </si>
  <si>
    <t>35 min</t>
  </si>
  <si>
    <t>Run-walk 3:1 if quiet shins</t>
  </si>
  <si>
    <t>GEAR &amp; PURCHASES — MAY 2026 STATUS</t>
  </si>
  <si>
    <t>Updated: May 4, 2026 — Day 1 of training</t>
  </si>
  <si>
    <t>Item</t>
  </si>
  <si>
    <t>Status</t>
  </si>
  <si>
    <t>Cost</t>
  </si>
  <si>
    <t>When Needed</t>
  </si>
  <si>
    <t>— ALREADY PURCHASED —</t>
  </si>
  <si>
    <t>Hoka Clifton running shoes</t>
  </si>
  <si>
    <t>✅ Done</t>
  </si>
  <si>
    <t>$145</t>
  </si>
  <si>
    <t>Now</t>
  </si>
  <si>
    <t>Gait analysis at Fleet Feet</t>
  </si>
  <si>
    <t>Currex insoles (gait-mapped)</t>
  </si>
  <si>
    <t>$60</t>
  </si>
  <si>
    <t>Custom-fitted at Fleet Feet</t>
  </si>
  <si>
    <t>Balega Hidden Comfort socks</t>
  </si>
  <si>
    <t>$15</t>
  </si>
  <si>
    <t>4-pack</t>
  </si>
  <si>
    <t>Rapha Core bib shorts (black)</t>
  </si>
  <si>
    <t>$160</t>
  </si>
  <si>
    <t>Sale price at REI</t>
  </si>
  <si>
    <t>Coros Pace 4 watch (black)</t>
  </si>
  <si>
    <t>✅ Ordered</t>
  </si>
  <si>
    <t>$249</t>
  </si>
  <si>
    <t>Replaces previous Garmin plan</t>
  </si>
  <si>
    <t>Tommaso Pista 100 cycling shoes</t>
  </si>
  <si>
    <t>✅ Owned</t>
  </si>
  <si>
    <t>$0</t>
  </si>
  <si>
    <t>Has Look Delta cleats — works with most road pedals</t>
  </si>
  <si>
    <t>Jolyn swimsuits, goggles, towels</t>
  </si>
  <si>
    <t>— BIKE DECISION (in progress) —</t>
  </si>
  <si>
    <t>Bike fit at Bearded Monkey</t>
  </si>
  <si>
    <t>⏳ Today</t>
  </si>
  <si>
    <t>~$75</t>
  </si>
  <si>
    <t>May 4</t>
  </si>
  <si>
    <t>Get sized; long torso, short legs</t>
  </si>
  <si>
    <t>Trek Domane AL 4 Gen 4 (target)</t>
  </si>
  <si>
    <t>⏳ Pending fit</t>
  </si>
  <si>
    <t>$1,799</t>
  </si>
  <si>
    <t>May–June</t>
  </si>
  <si>
    <t>OR similar endurance road bike</t>
  </si>
  <si>
    <t>Trek Domane AL 5 Gen 4 (option)</t>
  </si>
  <si>
    <t>$2,099</t>
  </si>
  <si>
    <t>105 components, hydraulic discs</t>
  </si>
  <si>
    <t>Wahoo Kickr smart trainer ($120 deal)</t>
  </si>
  <si>
    <t>⏳ Verify</t>
  </si>
  <si>
    <t>$120</t>
  </si>
  <si>
    <t>When bike arrives</t>
  </si>
  <si>
    <t>Verify model + cassette compatibility</t>
  </si>
  <si>
    <t>Look Keo pedals (if cleat swap)</t>
  </si>
  <si>
    <t>Optional</t>
  </si>
  <si>
    <t>$60–100</t>
  </si>
  <si>
    <t>With bike</t>
  </si>
  <si>
    <t>Match to Tommaso shoes</t>
  </si>
  <si>
    <t>— STILL TO BUY (May–June) —</t>
  </si>
  <si>
    <t>Cycling socks</t>
  </si>
  <si>
    <t>Pending</t>
  </si>
  <si>
    <t>$15–25</t>
  </si>
  <si>
    <t>Smartwool, Defeet, or Castelli</t>
  </si>
  <si>
    <t>Chamois cream (Chamois Butt'r)</t>
  </si>
  <si>
    <t>Before first ride</t>
  </si>
  <si>
    <t>Critical for first rides</t>
  </si>
  <si>
    <t>Body Glide anti-chafe</t>
  </si>
  <si>
    <t>$8</t>
  </si>
  <si>
    <t>Useful for running too</t>
  </si>
  <si>
    <t>Foam roller (high density)</t>
  </si>
  <si>
    <t>$25–40</t>
  </si>
  <si>
    <t>Daily recovery tool</t>
  </si>
  <si>
    <t>Compression sleeves (calf/shin)</t>
  </si>
  <si>
    <t>$25–35</t>
  </si>
  <si>
    <t>Shin protection during runs</t>
  </si>
  <si>
    <t>Trainer mat</t>
  </si>
  <si>
    <t>$40</t>
  </si>
  <si>
    <t>With bike + trainer</t>
  </si>
  <si>
    <t>Protects floor, reduces noise</t>
  </si>
  <si>
    <t>Tower fan (quiet, oscillating)</t>
  </si>
  <si>
    <t>$50–80</t>
  </si>
  <si>
    <t>Indoor riding sweat</t>
  </si>
  <si>
    <t>Goggles (Magic5 or Roka)</t>
  </si>
  <si>
    <t>$35–80</t>
  </si>
  <si>
    <t>Before open water</t>
  </si>
  <si>
    <t>For Chelanathon swim prep</t>
  </si>
  <si>
    <t>Triswim shampoo + conditioner</t>
  </si>
  <si>
    <t>$25</t>
  </si>
  <si>
    <t>Removes chlorine — protects hair</t>
  </si>
  <si>
    <t>— SUMMER 2026 (before Chelanathon) —</t>
  </si>
  <si>
    <t>Wetsuit (sleeveless or full)</t>
  </si>
  <si>
    <t>Plan: July</t>
  </si>
  <si>
    <t>$200–500</t>
  </si>
  <si>
    <t>Before Chelanathon</t>
  </si>
  <si>
    <t>Lake Chelan is wetsuit-legal</t>
  </si>
  <si>
    <t>Tri suit (one-piece)</t>
  </si>
  <si>
    <t>$150–300</t>
  </si>
  <si>
    <t>Roka, Castelli, Zoot</t>
  </si>
  <si>
    <t>Helmet (Specialized, Giro, Bell)</t>
  </si>
  <si>
    <t>Plan: With bike</t>
  </si>
  <si>
    <t>$80–150</t>
  </si>
  <si>
    <t>Can be done at bike shop</t>
  </si>
  <si>
    <t>Bottle cages × 2</t>
  </si>
  <si>
    <t>$20–40</t>
  </si>
  <si>
    <t>Bike shop installs</t>
  </si>
  <si>
    <t>— LATER (2026–2027) —</t>
  </si>
  <si>
    <t>Sports PT consult</t>
  </si>
  <si>
    <t>Plan: Month 2–3</t>
  </si>
  <si>
    <t>$200–300</t>
  </si>
  <si>
    <t>June–July</t>
  </si>
  <si>
    <t>Address shin history</t>
  </si>
  <si>
    <t>Lactate threshold test</t>
  </si>
  <si>
    <t>Plan: Month 4–5</t>
  </si>
  <si>
    <t>August–September</t>
  </si>
  <si>
    <t>Get accurate HR zones</t>
  </si>
  <si>
    <t>Clip-on aerobars</t>
  </si>
  <si>
    <t>Plan: Month 8–9</t>
  </si>
  <si>
    <t>Winter 2026/27</t>
  </si>
  <si>
    <t>Add for 70.3 prep</t>
  </si>
  <si>
    <t>Race entry: Chelanathon Olympic</t>
  </si>
  <si>
    <t>Plan: Now</t>
  </si>
  <si>
    <t>$150–180</t>
  </si>
  <si>
    <t>Soon</t>
  </si>
  <si>
    <t>September 19, 2026</t>
  </si>
  <si>
    <t>Race entry: Oceanside 70.3</t>
  </si>
  <si>
    <t>Plan: Late 2026</t>
  </si>
  <si>
    <t>$400–500</t>
  </si>
  <si>
    <t>When registration opens</t>
  </si>
  <si>
    <t>March/April 2027</t>
  </si>
  <si>
    <t>Race entry: Full Ironman</t>
  </si>
  <si>
    <t>Plan: Dec 2026</t>
  </si>
  <si>
    <t>$800–1,000</t>
  </si>
  <si>
    <t>After Match Day</t>
  </si>
  <si>
    <t>Race choice depends on PCS location</t>
  </si>
  <si>
    <t>SWIM TRAINING — TUE &amp; THU MASTERS COACHING</t>
  </si>
  <si>
    <t>Modify team sets toward triathlon-specific work · 2,000–2,500y per session</t>
  </si>
  <si>
    <t>Set Type</t>
  </si>
  <si>
    <t>Volume</t>
  </si>
  <si>
    <t>Description</t>
  </si>
  <si>
    <t>Triathlon Focus</t>
  </si>
  <si>
    <t>— PHASE 1 (May–June) · Aerobic Base —</t>
  </si>
  <si>
    <t>Warm-up</t>
  </si>
  <si>
    <t>400–600y</t>
  </si>
  <si>
    <t>200 easy free, 200 mixed (drill/build), 200 IM order or kick</t>
  </si>
  <si>
    <t>Activate, prep stroke</t>
  </si>
  <si>
    <t>Aerobic Endurance</t>
  </si>
  <si>
    <t>4–6 × 200</t>
  </si>
  <si>
    <t>Freestyle, :15-30 sec rest, steady conversational pace</t>
  </si>
  <si>
    <t>Triathlon base — most important set</t>
  </si>
  <si>
    <t>Continuous Swim</t>
  </si>
  <si>
    <t>800–1500y</t>
  </si>
  <si>
    <t>Steady pace, no walls/stops, practice breathing patterns</t>
  </si>
  <si>
    <t>Mimics race conditions</t>
  </si>
  <si>
    <t>Pull Buoy Set</t>
  </si>
  <si>
    <t>200–400y</t>
  </si>
  <si>
    <t>Pull buoy only, no kicking, focus on upper body</t>
  </si>
  <si>
    <t>Mimics wetsuit body position</t>
  </si>
  <si>
    <t>Cool-down</t>
  </si>
  <si>
    <t>100 easy, 100 backstroke or breaststroke, 100 easy</t>
  </si>
  <si>
    <t>Recovery</t>
  </si>
  <si>
    <t>— DRILLS TO ADD (every session) —</t>
  </si>
  <si>
    <t>Bilateral Breathing</t>
  </si>
  <si>
    <t>Throughout</t>
  </si>
  <si>
    <t>Breathe every 3 strokes minimum, build to 5</t>
  </si>
  <si>
    <t>Critical for open water</t>
  </si>
  <si>
    <t>Sighting Practice</t>
  </si>
  <si>
    <t>2x/month</t>
  </si>
  <si>
    <t>Every 6th stroke, lift head to look forward without breaking rhythm</t>
  </si>
  <si>
    <t>Open water navigation</t>
  </si>
  <si>
    <t>— PHASE 2 (July–Sept) · Olympic Prep —</t>
  </si>
  <si>
    <t>Race Simulation</t>
  </si>
  <si>
    <t>1500–1700y</t>
  </si>
  <si>
    <t>Continuous, at Chelanathon goal pace (open water effort)</t>
  </si>
  <si>
    <t>Race readiness</t>
  </si>
  <si>
    <t>Pace Work</t>
  </si>
  <si>
    <t>5 × 300</t>
  </si>
  <si>
    <t>Even splits at race pace</t>
  </si>
  <si>
    <t>Pace sustainability</t>
  </si>
  <si>
    <t>Long Swim</t>
  </si>
  <si>
    <t>2,000+y</t>
  </si>
  <si>
    <t>Continuous endurance, building toward longer races</t>
  </si>
  <si>
    <t>Distance base</t>
  </si>
  <si>
    <t>Wetsuit Pool Swim</t>
  </si>
  <si>
    <t>1x/month</t>
  </si>
  <si>
    <t>Wear wetsuit, practice body position</t>
  </si>
  <si>
    <t>Gear familiarity</t>
  </si>
  <si>
    <t>— PHASE 3+ (Oct 2026 onward) · Distance —</t>
  </si>
  <si>
    <t>Long Aerobic</t>
  </si>
  <si>
    <t>3 × 1000</t>
  </si>
  <si>
    <t>Short rest, building aerobic capacity</t>
  </si>
  <si>
    <t>70.3 swim distance (2,100y)</t>
  </si>
  <si>
    <t>Time Trial</t>
  </si>
  <si>
    <t>4,000+y</t>
  </si>
  <si>
    <t>Continuous swim, simulate Ironman swim distance</t>
  </si>
  <si>
    <t>Ironman swim (4,200y)</t>
  </si>
  <si>
    <t>Open Water Sessions</t>
  </si>
  <si>
    <t>Weekly when warm</t>
  </si>
  <si>
    <t>Lake swims, full wetsuit, group practice</t>
  </si>
  <si>
    <t>Race-day conditions</t>
  </si>
  <si>
    <t>— KEY PRINCIPLES —</t>
  </si>
  <si>
    <t>Don't race-pace</t>
  </si>
  <si>
    <t>Always</t>
  </si>
  <si>
    <t>Resist instinct to push hard — most should be aerobic</t>
  </si>
  <si>
    <t>Save energy for bike/run</t>
  </si>
  <si>
    <t>Quantity &gt; intensity</t>
  </si>
  <si>
    <t>For Ironman</t>
  </si>
  <si>
    <t>Long distances matter more than speed</t>
  </si>
  <si>
    <t>Aerobic endurance</t>
  </si>
  <si>
    <t>Protect shoulders</t>
  </si>
  <si>
    <t>Already loaded by lifts + ride positions</t>
  </si>
  <si>
    <t>Avoid overuse injury</t>
  </si>
  <si>
    <t>Pool ≠ open water</t>
  </si>
  <si>
    <t>Plan transition</t>
  </si>
  <si>
    <t>Even with background, plan dedicated open water sessions</t>
  </si>
  <si>
    <t>Race-day comfort</t>
  </si>
  <si>
    <t>PRINCIPLES &amp; RED FLAGS — DO NOT IGNORE</t>
  </si>
  <si>
    <t>The non-negotiables for this 18-month journey</t>
  </si>
  <si>
    <t>Principle / Flag</t>
  </si>
  <si>
    <t>Action</t>
  </si>
  <si>
    <t>Why</t>
  </si>
  <si>
    <t>— THE FOUR NON-NEGOTIABLES —</t>
  </si>
  <si>
    <t>1. Run-walk only</t>
  </si>
  <si>
    <t>No continuous running for first 4–6 weeks</t>
  </si>
  <si>
    <t>Shin protection is the limiting factor</t>
  </si>
  <si>
    <t>2. 80% easy effort</t>
  </si>
  <si>
    <t>Conversational pace, never forced</t>
  </si>
  <si>
    <t>Building aerobic base, not racing</t>
  </si>
  <si>
    <t>3. Sleep 7.5–8.5 hours</t>
  </si>
  <si>
    <t>Non-negotiable for recovery</t>
  </si>
  <si>
    <t>Especially before 6am Masters days</t>
  </si>
  <si>
    <t>4. Eat enough</t>
  </si>
  <si>
    <t>130–150g protein/day, 2,300–2,700 cal</t>
  </si>
  <si>
    <t>Don't cut calories while training increases</t>
  </si>
  <si>
    <t>— RED FLAGS · STOP TRAINING —</t>
  </si>
  <si>
    <t>Sharp shin pain during run</t>
  </si>
  <si>
    <t>STOP immediately</t>
  </si>
  <si>
    <t>5–7 days off, ice, see doctor if persists</t>
  </si>
  <si>
    <t>Pain that lingers &gt;48 hrs after a run</t>
  </si>
  <si>
    <t>Drop to walking only</t>
  </si>
  <si>
    <t>Repeat that week's run volume</t>
  </si>
  <si>
    <t>Resting HR up 10+ above baseline 3+ days</t>
  </si>
  <si>
    <t>Take 2 days off</t>
  </si>
  <si>
    <t>Body fighting something or overtraining</t>
  </si>
  <si>
    <t>Unusual fatigue + irritability</t>
  </si>
  <si>
    <t>Reduce volume 20–30%</t>
  </si>
  <si>
    <t>Could be overreaching</t>
  </si>
  <si>
    <t>Weight dropping &gt;1 lb/week consistently</t>
  </si>
  <si>
    <t>Eat more</t>
  </si>
  <si>
    <t>Under-fueling endurance training</t>
  </si>
  <si>
    <t>Period changes or cycle disruption</t>
  </si>
  <si>
    <t>Eat more, see doctor</t>
  </si>
  <si>
    <t>Sign of energy deficiency</t>
  </si>
  <si>
    <t>— YELLOW FLAGS · WATCH CLOSELY —</t>
  </si>
  <si>
    <t>Mild shin tightness during run</t>
  </si>
  <si>
    <t>Acceptable if resolves quickly</t>
  </si>
  <si>
    <t>Track in spreadsheet</t>
  </si>
  <si>
    <t>Soreness lingering 24 hrs</t>
  </si>
  <si>
    <t>Normal early, watch trends</t>
  </si>
  <si>
    <t>Easy day next, then reassess</t>
  </si>
  <si>
    <t>Saddle pressure first 2–3 weeks</t>
  </si>
  <si>
    <t>Normal — adapt period</t>
  </si>
  <si>
    <t>Chamois cream, proper bibs, will pass</t>
  </si>
  <si>
    <t>Disrupted sleep 1–2 nights</t>
  </si>
  <si>
    <t>Normal — life happens</t>
  </si>
  <si>
    <t>Concerning if pattern of 3+ nights</t>
  </si>
  <si>
    <t>Energy dip mid-afternoon</t>
  </si>
  <si>
    <t>Probably under-eating</t>
  </si>
  <si>
    <t>Pre-workout snack helps</t>
  </si>
  <si>
    <t>— PROGRESS SIGNALS · GREEN —</t>
  </si>
  <si>
    <t>Workouts feel easier at same pace</t>
  </si>
  <si>
    <t>Aerobic base building</t>
  </si>
  <si>
    <t>Push slightly harder over time</t>
  </si>
  <si>
    <t>Weight stable, body comp improving</t>
  </si>
  <si>
    <t>Right calorie balance</t>
  </si>
  <si>
    <t>Continue current approach</t>
  </si>
  <si>
    <t>Energy stable through day</t>
  </si>
  <si>
    <t>Fueling well</t>
  </si>
  <si>
    <t>No changes needed</t>
  </si>
  <si>
    <t>Periods regular</t>
  </si>
  <si>
    <t>Hormones balanced</t>
  </si>
  <si>
    <t>Energy availability is good</t>
  </si>
  <si>
    <t>Lifts progressing weekly</t>
  </si>
  <si>
    <t>Strength building</t>
  </si>
  <si>
    <t>Continue progressive overload</t>
  </si>
  <si>
    <t>Looking forward to workouts</t>
  </si>
  <si>
    <t>Sustainable pace</t>
  </si>
  <si>
    <t>Don't mess with what's working</t>
  </si>
  <si>
    <t>— DECISION CHECKPOINTS —</t>
  </si>
  <si>
    <t>End of June (Week 8)</t>
  </si>
  <si>
    <t>Phase 1 review</t>
  </si>
  <si>
    <t>Shins quiet? Bike base? Energy? If yes → Phase 2</t>
  </si>
  <si>
    <t>Mid-July (Week 11)</t>
  </si>
  <si>
    <t>Drop to 2x lifts?</t>
  </si>
  <si>
    <t>Watch recovery signals — RHR, sleep, soreness</t>
  </si>
  <si>
    <t>End of August</t>
  </si>
  <si>
    <t>Olympic taper start</t>
  </si>
  <si>
    <t>Reduce volume 10-20% for week before Chelanathon</t>
  </si>
  <si>
    <t>Week of Sep 19</t>
  </si>
  <si>
    <t>Race week</t>
  </si>
  <si>
    <t>Light Mon-Fri, race Sat, recovery Sun</t>
  </si>
  <si>
    <t>Late September</t>
  </si>
  <si>
    <t>Phase 2 transition</t>
  </si>
  <si>
    <t>Recovery, then 70.3 prep begins</t>
  </si>
  <si>
    <t>December 2026</t>
  </si>
  <si>
    <t>Match Day</t>
  </si>
  <si>
    <t>Husband's match → register Ironman race</t>
  </si>
  <si>
    <t>— TIMELINE REALITY CHECKS —</t>
  </si>
  <si>
    <t>You will feel undertrained May–June</t>
  </si>
  <si>
    <t>BY DESIGN</t>
  </si>
  <si>
    <t>Conservative is correct early</t>
  </si>
  <si>
    <t>You will doubt the plan in July–August</t>
  </si>
  <si>
    <t>NORMAL</t>
  </si>
  <si>
    <t>Trust the framework</t>
  </si>
  <si>
    <t>You will hit a low motivation patch</t>
  </si>
  <si>
    <t>EXPECTED</t>
  </si>
  <si>
    <t>Skip if needed, return to plan</t>
  </si>
  <si>
    <t>You will get sick at some point</t>
  </si>
  <si>
    <t>INEVITABLE</t>
  </si>
  <si>
    <t>3–5 days off then ease back</t>
  </si>
  <si>
    <t>You will travel 2–3x in 18 months</t>
  </si>
  <si>
    <t>PLAN FOR IT</t>
  </si>
  <si>
    <t>Travel weeks become natural deload</t>
  </si>
  <si>
    <t>PCS move June 2027</t>
  </si>
  <si>
    <t>BUILT INTO PLAN</t>
  </si>
  <si>
    <t>4–6 weeks compromised — okay</t>
  </si>
  <si>
    <t>WEEKLY VOLUME SUMMARY — MAY &amp; JUNE 2026</t>
  </si>
  <si>
    <t>Conservative ramp · 80% easy effort · Travel weeks absorbed</t>
  </si>
  <si>
    <t>Swim (min)</t>
  </si>
  <si>
    <t>Bike (min)</t>
  </si>
  <si>
    <t>Run (min)</t>
  </si>
  <si>
    <t>Total Cardio</t>
  </si>
  <si>
    <t>Lifts</t>
  </si>
  <si>
    <t>Week 1 (San Diego)</t>
  </si>
  <si>
    <t>Week 6 (San Diego)</t>
  </si>
  <si>
    <t>TOTAL</t>
  </si>
  <si>
    <t>NOTES</t>
  </si>
  <si>
    <t>• Total cardio time hits ~40 hrs over 8 weeks — conservative on purpose</t>
  </si>
  <si>
    <t>• Run progression: 30 → 70 minutes/week — within 10% rule for tibial bone safety</t>
  </si>
  <si>
    <t>• Bike progression: 60 → 170 minutes/week — building base, no intervals yet</t>
  </si>
  <si>
    <t>• Week 1 = San Diego trip Thu-Sun (May 7-10) → reduced volume</t>
  </si>
  <si>
    <t>• Week 6 = San Diego trip Fri-Sun (June 12-14) → reduced volume</t>
  </si>
  <si>
    <t>• Lifts stay at 3x/week (Powerhouse v2: Hinge / Pull / Squat+Power)</t>
  </si>
  <si>
    <t>• When endurance &gt;10 hrs/wk consistently, drop to 2x lifts (likely August)</t>
  </si>
  <si>
    <t>RACE CALENDAR — THE 18-MONTH ROAD TO IRONMAN</t>
  </si>
  <si>
    <t>Olympic → 70.3 → Full Ironman · Each race a meaningful step up</t>
  </si>
  <si>
    <t>Race</t>
  </si>
  <si>
    <t>Distance</t>
  </si>
  <si>
    <t>Sep 19, 2026</t>
  </si>
  <si>
    <t>Chelanathon Olympic</t>
  </si>
  <si>
    <t>1mi swim, 24mi bike, 6.2mi run</t>
  </si>
  <si>
    <t>Plan to register</t>
  </si>
  <si>
    <t>Manson, WA · 2hr drive · Wetsuit-legal · First triathlon · Goal: finish strong, learn race day</t>
  </si>
  <si>
    <t>Mar–Apr 2027</t>
  </si>
  <si>
    <t>Oceanside 70.3</t>
  </si>
  <si>
    <t>1.2mi swim, 56mi bike, 13.1mi run</t>
  </si>
  <si>
    <t>Plan: register late 2026</t>
  </si>
  <si>
    <t>CA · Hilly bike (Camp Pendleton) · Family in SoCal · Dress rehearsal for Ironman</t>
  </si>
  <si>
    <t>May 2027</t>
  </si>
  <si>
    <t>(Optional) Onion Man Olympic</t>
  </si>
  <si>
    <t>Walla Walla, WA · Before PCS move · Tune-up race</t>
  </si>
  <si>
    <t>Oct 2027</t>
  </si>
  <si>
    <t>FULL IRONMAN</t>
  </si>
  <si>
    <t>2.4mi swim, 112mi bike, 26.2mi run</t>
  </si>
  <si>
    <t>Register Dec 2026</t>
  </si>
  <si>
    <t>Race choice depends on Match Day:</t>
  </si>
  <si>
    <t xml:space="preserve">  → If San Diego match</t>
  </si>
  <si>
    <t>Ironman California</t>
  </si>
  <si>
    <t>Sacramento · Mid-October</t>
  </si>
  <si>
    <t>Preferred option</t>
  </si>
  <si>
    <t>Drivable from SD · Family attendance · Familiar conditions</t>
  </si>
  <si>
    <t xml:space="preserve">  → If Virginia Beach</t>
  </si>
  <si>
    <t>Ironman Maryland</t>
  </si>
  <si>
    <t>Cambridge, MD · September</t>
  </si>
  <si>
    <t>Backup</t>
  </si>
  <si>
    <t>Closer to East Coast home base</t>
  </si>
  <si>
    <t xml:space="preserve">  → If DC</t>
  </si>
  <si>
    <t>Ironman Maryland or Florida</t>
  </si>
  <si>
    <t>East Coast options</t>
  </si>
  <si>
    <t>Maryland Sept · Florida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</si>
</sst>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1"/>
      <color rgb="FF1F7A6E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2A5876"/>
      <name val="Arial"/>
      <family val="2"/>
    </font>
    <font>
      <b/>
      <sz val="11"/>
      <color rgb="FFFFFFFF"/>
      <name val="Arial"/>
      <family val="2"/>
    </font>
    <font>
      <b/>
      <sz val="10"/>
      <color rgb="FF1F7A6E"/>
      <name val="Arial"/>
      <family val="2"/>
    </font>
    <font>
      <b/>
      <sz val="10"/>
      <color rgb="FF1A2E3A"/>
      <name val="Arial"/>
      <family val="2"/>
    </font>
    <font>
      <b/>
      <sz val="11"/>
      <color rgb="FF2A5876"/>
      <name val="Arial"/>
      <family val="2"/>
    </font>
    <font>
      <sz val="11"/>
      <name val="Arial"/>
      <family val="2"/>
    </font>
    <font>
      <b/>
      <sz val="11"/>
      <color rgb="FF1F7A6E"/>
      <name val="Arial"/>
      <family val="2"/>
    </font>
    <font>
      <b/>
      <sz val="12"/>
      <color rgb="FFFFFFFF"/>
      <name val="Arial"/>
      <family val="2"/>
    </font>
    <font>
      <i/>
      <sz val="10"/>
      <color rgb="FF1A2E3A"/>
      <name val="Arial"/>
      <family val="2"/>
    </font>
    <font>
      <i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A5876"/>
        <bgColor rgb="FF1F7A6E"/>
      </patternFill>
    </fill>
    <fill>
      <patternFill patternType="solid">
        <fgColor rgb="FFFAF6EE"/>
        <bgColor rgb="FFFFF8E1"/>
      </patternFill>
    </fill>
    <fill>
      <patternFill patternType="solid">
        <fgColor rgb="FF1F7A6E"/>
        <bgColor rgb="FF008080"/>
      </patternFill>
    </fill>
    <fill>
      <patternFill patternType="solid">
        <fgColor rgb="FFA8DCC9"/>
        <bgColor rgb="FFCCCCCC"/>
      </patternFill>
    </fill>
    <fill>
      <patternFill patternType="solid">
        <fgColor rgb="FFD8E1E9"/>
        <bgColor rgb="FFF5EAD8"/>
      </patternFill>
    </fill>
    <fill>
      <patternFill patternType="solid">
        <fgColor rgb="FFF5EAD8"/>
        <bgColor rgb="FFFFEBEB"/>
      </patternFill>
    </fill>
    <fill>
      <patternFill patternType="solid">
        <fgColor rgb="FFF0F5F8"/>
        <bgColor rgb="FFEAF7F0"/>
      </patternFill>
    </fill>
    <fill>
      <patternFill patternType="solid">
        <fgColor rgb="FF5B8FA8"/>
        <bgColor rgb="FF2A9D8F"/>
      </patternFill>
    </fill>
    <fill>
      <patternFill patternType="solid">
        <fgColor rgb="FFFFEBEB"/>
        <bgColor rgb="FFF5EAD8"/>
      </patternFill>
    </fill>
    <fill>
      <patternFill patternType="solid">
        <fgColor rgb="FFFFF8E1"/>
        <bgColor rgb="FFFAF6EE"/>
      </patternFill>
    </fill>
    <fill>
      <patternFill patternType="solid">
        <fgColor rgb="FFEAF7F0"/>
        <bgColor rgb="FFF0F5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A9D8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3" fillId="0" borderId="0" xfId="0" applyFont="1" applyAlignment="1">
      <alignment horizontal="left" vertical="center" wrapText="1" indent="1"/>
    </xf>
    <xf numFmtId="0" fontId="9" fillId="0" borderId="0" xfId="0" applyFont="1"/>
    <xf numFmtId="0" fontId="2" fillId="3" borderId="0" xfId="0" applyFont="1" applyFill="1"/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left" vertical="center" wrapText="1" indent="1"/>
    </xf>
    <xf numFmtId="0" fontId="6" fillId="9" borderId="0" xfId="0" applyFont="1" applyFill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0" fontId="4" fillId="12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14" fillId="8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E"/>
      <rgbColor rgb="FFCCCCCC"/>
      <rgbColor rgb="FF5B8FA8"/>
      <rgbColor rgb="FF9999FF"/>
      <rgbColor rgb="FF993366"/>
      <rgbColor rgb="FFFFF8E1"/>
      <rgbColor rgb="FFEAF7F0"/>
      <rgbColor rgb="FF660066"/>
      <rgbColor rgb="FFFF8080"/>
      <rgbColor rgb="FF0066CC"/>
      <rgbColor rgb="FFD8E1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8"/>
      <rgbColor rgb="FFFAF6EE"/>
      <rgbColor rgb="FFF5EAD8"/>
      <rgbColor rgb="FFA8DCC9"/>
      <rgbColor rgb="FFFF99CC"/>
      <rgbColor rgb="FFCC99FF"/>
      <rgbColor rgb="FFFFEBE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A9D8F"/>
      <rgbColor rgb="FF003300"/>
      <rgbColor rgb="FF333300"/>
      <rgbColor rgb="FF993300"/>
      <rgbColor rgb="FF993366"/>
      <rgbColor rgb="FF2A5876"/>
      <rgbColor rgb="FF1A2E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zoomScaleNormal="100" workbookViewId="0">
      <pane ySplit="4" topLeftCell="A5" activePane="bottomLeft" state="frozen"/>
      <selection pane="bottomLeft" sqref="A1:I1"/>
    </sheetView>
  </sheetViews>
  <sheetFormatPr baseColWidth="10" defaultColWidth="8.6640625" defaultRowHeight="15" x14ac:dyDescent="0.2"/>
  <cols>
    <col min="1" max="1" width="9" customWidth="1"/>
    <col min="2" max="2" width="6" customWidth="1"/>
    <col min="3" max="3" width="9" customWidth="1"/>
    <col min="4" max="4" width="38" customWidth="1"/>
    <col min="5" max="5" width="16" customWidth="1"/>
    <col min="6" max="6" width="13" customWidth="1"/>
    <col min="7" max="7" width="7" customWidth="1"/>
    <col min="8" max="8" width="38" customWidth="1"/>
    <col min="9" max="9" width="28" customWidth="1"/>
  </cols>
  <sheetData>
    <row r="1" spans="1:9" ht="36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</row>
    <row r="4" spans="1:9" ht="27.75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ht="31.5" customHeight="1" x14ac:dyDescent="0.2">
      <c r="A5" s="6" t="s">
        <v>11</v>
      </c>
      <c r="B5" s="7" t="s">
        <v>12</v>
      </c>
      <c r="C5" s="6" t="s">
        <v>13</v>
      </c>
      <c r="D5" s="8" t="s">
        <v>14</v>
      </c>
      <c r="E5" s="9" t="s">
        <v>15</v>
      </c>
      <c r="F5" s="6" t="s">
        <v>16</v>
      </c>
      <c r="G5" s="6" t="s">
        <v>17</v>
      </c>
      <c r="H5" s="8" t="s">
        <v>18</v>
      </c>
      <c r="I5" s="8"/>
    </row>
    <row r="6" spans="1:9" ht="31.5" customHeight="1" x14ac:dyDescent="0.2">
      <c r="A6" s="6" t="s">
        <v>19</v>
      </c>
      <c r="B6" s="7" t="s">
        <v>20</v>
      </c>
      <c r="C6" s="6" t="s">
        <v>13</v>
      </c>
      <c r="D6" s="8" t="s">
        <v>21</v>
      </c>
      <c r="E6" s="10" t="s">
        <v>22</v>
      </c>
      <c r="F6" s="6" t="s">
        <v>16</v>
      </c>
      <c r="G6" s="6" t="s">
        <v>17</v>
      </c>
      <c r="H6" s="8" t="s">
        <v>23</v>
      </c>
      <c r="I6" s="8"/>
    </row>
    <row r="7" spans="1:9" ht="31.5" customHeight="1" x14ac:dyDescent="0.2">
      <c r="A7" s="6" t="s">
        <v>24</v>
      </c>
      <c r="B7" s="7" t="s">
        <v>25</v>
      </c>
      <c r="C7" s="6" t="s">
        <v>13</v>
      </c>
      <c r="D7" s="8" t="s">
        <v>26</v>
      </c>
      <c r="E7" s="9" t="s">
        <v>27</v>
      </c>
      <c r="F7" s="6" t="s">
        <v>28</v>
      </c>
      <c r="G7" s="6" t="s">
        <v>17</v>
      </c>
      <c r="H7" s="8" t="s">
        <v>29</v>
      </c>
      <c r="I7" s="8"/>
    </row>
    <row r="8" spans="1:9" ht="31.5" customHeight="1" x14ac:dyDescent="0.2">
      <c r="A8" s="6" t="s">
        <v>30</v>
      </c>
      <c r="B8" s="7" t="s">
        <v>31</v>
      </c>
      <c r="C8" s="6" t="s">
        <v>13</v>
      </c>
      <c r="D8" s="8" t="s">
        <v>32</v>
      </c>
      <c r="E8" s="11" t="s">
        <v>33</v>
      </c>
      <c r="F8" s="6" t="s">
        <v>34</v>
      </c>
      <c r="G8" s="6" t="s">
        <v>17</v>
      </c>
      <c r="H8" s="8" t="s">
        <v>35</v>
      </c>
      <c r="I8" s="8"/>
    </row>
    <row r="9" spans="1:9" ht="31.5" customHeight="1" x14ac:dyDescent="0.2">
      <c r="A9" s="6" t="s">
        <v>36</v>
      </c>
      <c r="B9" s="7" t="s">
        <v>37</v>
      </c>
      <c r="C9" s="6" t="s">
        <v>13</v>
      </c>
      <c r="D9" s="8" t="s">
        <v>38</v>
      </c>
      <c r="E9" s="11" t="s">
        <v>39</v>
      </c>
      <c r="F9" s="6" t="s">
        <v>40</v>
      </c>
      <c r="G9" s="6" t="s">
        <v>17</v>
      </c>
      <c r="H9" s="8" t="s">
        <v>41</v>
      </c>
      <c r="I9" s="8"/>
    </row>
    <row r="10" spans="1:9" ht="31.5" customHeight="1" x14ac:dyDescent="0.2">
      <c r="A10" s="6" t="s">
        <v>42</v>
      </c>
      <c r="B10" s="7" t="s">
        <v>43</v>
      </c>
      <c r="C10" s="6" t="s">
        <v>13</v>
      </c>
      <c r="D10" s="8" t="s">
        <v>44</v>
      </c>
      <c r="E10" s="11" t="s">
        <v>45</v>
      </c>
      <c r="F10" s="6" t="s">
        <v>16</v>
      </c>
      <c r="G10" s="6" t="s">
        <v>17</v>
      </c>
      <c r="H10" s="8" t="s">
        <v>46</v>
      </c>
      <c r="I10" s="8"/>
    </row>
    <row r="11" spans="1:9" ht="31.5" customHeight="1" x14ac:dyDescent="0.2">
      <c r="A11" s="12" t="s">
        <v>47</v>
      </c>
      <c r="B11" s="13" t="s">
        <v>48</v>
      </c>
      <c r="C11" s="12" t="s">
        <v>13</v>
      </c>
      <c r="D11" s="14" t="s">
        <v>49</v>
      </c>
      <c r="E11" s="15" t="s">
        <v>50</v>
      </c>
      <c r="F11" s="12" t="s">
        <v>34</v>
      </c>
      <c r="G11" s="12" t="s">
        <v>17</v>
      </c>
      <c r="H11" s="14" t="s">
        <v>51</v>
      </c>
      <c r="I11" s="14"/>
    </row>
    <row r="12" spans="1:9" ht="7.5" customHeight="1" x14ac:dyDescent="0.2"/>
    <row r="13" spans="1:9" ht="31.5" customHeight="1" x14ac:dyDescent="0.2">
      <c r="A13" s="6" t="s">
        <v>52</v>
      </c>
      <c r="B13" s="7" t="s">
        <v>12</v>
      </c>
      <c r="C13" s="6" t="s">
        <v>53</v>
      </c>
      <c r="D13" s="8" t="s">
        <v>54</v>
      </c>
      <c r="E13" s="9" t="s">
        <v>27</v>
      </c>
      <c r="F13" s="6" t="s">
        <v>28</v>
      </c>
      <c r="G13" s="6" t="s">
        <v>17</v>
      </c>
      <c r="H13" s="8" t="s">
        <v>55</v>
      </c>
      <c r="I13" s="8"/>
    </row>
    <row r="14" spans="1:9" ht="31.5" customHeight="1" x14ac:dyDescent="0.2">
      <c r="A14" s="6" t="s">
        <v>56</v>
      </c>
      <c r="B14" s="7" t="s">
        <v>20</v>
      </c>
      <c r="C14" s="6" t="s">
        <v>53</v>
      </c>
      <c r="D14" s="8" t="s">
        <v>21</v>
      </c>
      <c r="E14" s="10" t="s">
        <v>22</v>
      </c>
      <c r="F14" s="6" t="s">
        <v>16</v>
      </c>
      <c r="G14" s="6" t="s">
        <v>17</v>
      </c>
      <c r="H14" s="8" t="s">
        <v>57</v>
      </c>
      <c r="I14" s="8"/>
    </row>
    <row r="15" spans="1:9" ht="31.5" customHeight="1" x14ac:dyDescent="0.2">
      <c r="A15" s="6" t="s">
        <v>58</v>
      </c>
      <c r="B15" s="7" t="s">
        <v>25</v>
      </c>
      <c r="C15" s="6" t="s">
        <v>53</v>
      </c>
      <c r="D15" s="8" t="s">
        <v>26</v>
      </c>
      <c r="E15" s="9" t="s">
        <v>27</v>
      </c>
      <c r="F15" s="6" t="s">
        <v>59</v>
      </c>
      <c r="G15" s="6" t="s">
        <v>17</v>
      </c>
      <c r="H15" s="8" t="s">
        <v>60</v>
      </c>
      <c r="I15" s="8"/>
    </row>
    <row r="16" spans="1:9" ht="31.5" customHeight="1" x14ac:dyDescent="0.2">
      <c r="A16" s="6" t="s">
        <v>61</v>
      </c>
      <c r="B16" s="7" t="s">
        <v>31</v>
      </c>
      <c r="C16" s="6" t="s">
        <v>53</v>
      </c>
      <c r="D16" s="8" t="s">
        <v>62</v>
      </c>
      <c r="E16" s="10" t="s">
        <v>63</v>
      </c>
      <c r="F16" s="6" t="s">
        <v>64</v>
      </c>
      <c r="G16" s="6" t="s">
        <v>17</v>
      </c>
      <c r="H16" s="8" t="s">
        <v>65</v>
      </c>
      <c r="I16" s="8"/>
    </row>
    <row r="17" spans="1:9" ht="31.5" customHeight="1" x14ac:dyDescent="0.2">
      <c r="A17" s="6" t="s">
        <v>66</v>
      </c>
      <c r="B17" s="7" t="s">
        <v>37</v>
      </c>
      <c r="C17" s="6" t="s">
        <v>53</v>
      </c>
      <c r="D17" s="8" t="s">
        <v>67</v>
      </c>
      <c r="E17" s="9" t="s">
        <v>15</v>
      </c>
      <c r="F17" s="6" t="s">
        <v>16</v>
      </c>
      <c r="G17" s="6" t="s">
        <v>17</v>
      </c>
      <c r="H17" s="8" t="s">
        <v>68</v>
      </c>
      <c r="I17" s="8"/>
    </row>
    <row r="18" spans="1:9" ht="31.5" customHeight="1" x14ac:dyDescent="0.2">
      <c r="A18" s="6" t="s">
        <v>69</v>
      </c>
      <c r="B18" s="7" t="s">
        <v>43</v>
      </c>
      <c r="C18" s="6" t="s">
        <v>53</v>
      </c>
      <c r="D18" s="8" t="s">
        <v>70</v>
      </c>
      <c r="E18" s="10" t="s">
        <v>71</v>
      </c>
      <c r="F18" s="6" t="s">
        <v>16</v>
      </c>
      <c r="G18" s="6" t="s">
        <v>17</v>
      </c>
      <c r="H18" s="8" t="s">
        <v>72</v>
      </c>
      <c r="I18" s="8"/>
    </row>
    <row r="19" spans="1:9" ht="31.5" customHeight="1" x14ac:dyDescent="0.2">
      <c r="A19" s="12" t="s">
        <v>73</v>
      </c>
      <c r="B19" s="13" t="s">
        <v>48</v>
      </c>
      <c r="C19" s="12" t="s">
        <v>53</v>
      </c>
      <c r="D19" s="14" t="s">
        <v>74</v>
      </c>
      <c r="E19" s="16" t="s">
        <v>75</v>
      </c>
      <c r="F19" s="12" t="s">
        <v>76</v>
      </c>
      <c r="G19" s="12" t="s">
        <v>17</v>
      </c>
      <c r="H19" s="14" t="s">
        <v>77</v>
      </c>
      <c r="I19" s="14"/>
    </row>
    <row r="20" spans="1:9" ht="7.5" customHeight="1" x14ac:dyDescent="0.2"/>
    <row r="21" spans="1:9" ht="31.5" customHeight="1" x14ac:dyDescent="0.2">
      <c r="A21" s="6" t="s">
        <v>78</v>
      </c>
      <c r="B21" s="7" t="s">
        <v>12</v>
      </c>
      <c r="C21" s="6" t="s">
        <v>79</v>
      </c>
      <c r="D21" s="8" t="s">
        <v>54</v>
      </c>
      <c r="E21" s="9" t="s">
        <v>27</v>
      </c>
      <c r="F21" s="6" t="s">
        <v>28</v>
      </c>
      <c r="G21" s="6" t="s">
        <v>17</v>
      </c>
      <c r="H21" s="8" t="s">
        <v>80</v>
      </c>
      <c r="I21" s="8"/>
    </row>
    <row r="22" spans="1:9" ht="31.5" customHeight="1" x14ac:dyDescent="0.2">
      <c r="A22" s="6" t="s">
        <v>81</v>
      </c>
      <c r="B22" s="7" t="s">
        <v>20</v>
      </c>
      <c r="C22" s="6" t="s">
        <v>79</v>
      </c>
      <c r="D22" s="8" t="s">
        <v>21</v>
      </c>
      <c r="E22" s="10" t="s">
        <v>22</v>
      </c>
      <c r="F22" s="6" t="s">
        <v>16</v>
      </c>
      <c r="G22" s="6" t="s">
        <v>17</v>
      </c>
      <c r="H22" s="8" t="s">
        <v>82</v>
      </c>
      <c r="I22" s="8"/>
    </row>
    <row r="23" spans="1:9" ht="31.5" customHeight="1" x14ac:dyDescent="0.2">
      <c r="A23" s="6" t="s">
        <v>83</v>
      </c>
      <c r="B23" s="7" t="s">
        <v>25</v>
      </c>
      <c r="C23" s="6" t="s">
        <v>79</v>
      </c>
      <c r="D23" s="8" t="s">
        <v>26</v>
      </c>
      <c r="E23" s="9" t="s">
        <v>27</v>
      </c>
      <c r="F23" s="6" t="s">
        <v>59</v>
      </c>
      <c r="G23" s="6" t="s">
        <v>17</v>
      </c>
      <c r="H23" s="8"/>
      <c r="I23" s="8"/>
    </row>
    <row r="24" spans="1:9" ht="31.5" customHeight="1" x14ac:dyDescent="0.2">
      <c r="A24" s="6" t="s">
        <v>84</v>
      </c>
      <c r="B24" s="7" t="s">
        <v>31</v>
      </c>
      <c r="C24" s="6" t="s">
        <v>79</v>
      </c>
      <c r="D24" s="8" t="s">
        <v>62</v>
      </c>
      <c r="E24" s="10" t="s">
        <v>63</v>
      </c>
      <c r="F24" s="6" t="s">
        <v>85</v>
      </c>
      <c r="G24" s="6" t="s">
        <v>17</v>
      </c>
      <c r="H24" s="8" t="s">
        <v>86</v>
      </c>
      <c r="I24" s="8"/>
    </row>
    <row r="25" spans="1:9" ht="31.5" customHeight="1" x14ac:dyDescent="0.2">
      <c r="A25" s="6" t="s">
        <v>87</v>
      </c>
      <c r="B25" s="7" t="s">
        <v>37</v>
      </c>
      <c r="C25" s="6" t="s">
        <v>79</v>
      </c>
      <c r="D25" s="8" t="s">
        <v>67</v>
      </c>
      <c r="E25" s="9" t="s">
        <v>15</v>
      </c>
      <c r="F25" s="6" t="s">
        <v>16</v>
      </c>
      <c r="G25" s="6" t="s">
        <v>17</v>
      </c>
      <c r="H25" s="8"/>
      <c r="I25" s="8"/>
    </row>
    <row r="26" spans="1:9" ht="31.5" customHeight="1" x14ac:dyDescent="0.2">
      <c r="A26" s="6" t="s">
        <v>88</v>
      </c>
      <c r="B26" s="7" t="s">
        <v>43</v>
      </c>
      <c r="C26" s="6" t="s">
        <v>79</v>
      </c>
      <c r="D26" s="8" t="s">
        <v>70</v>
      </c>
      <c r="E26" s="10" t="s">
        <v>71</v>
      </c>
      <c r="F26" s="6" t="s">
        <v>89</v>
      </c>
      <c r="G26" s="6" t="s">
        <v>17</v>
      </c>
      <c r="H26" s="8" t="s">
        <v>90</v>
      </c>
      <c r="I26" s="8"/>
    </row>
    <row r="27" spans="1:9" ht="31.5" customHeight="1" x14ac:dyDescent="0.2">
      <c r="A27" s="12" t="s">
        <v>91</v>
      </c>
      <c r="B27" s="13" t="s">
        <v>48</v>
      </c>
      <c r="C27" s="12" t="s">
        <v>79</v>
      </c>
      <c r="D27" s="14" t="s">
        <v>74</v>
      </c>
      <c r="E27" s="16" t="s">
        <v>75</v>
      </c>
      <c r="F27" s="12" t="s">
        <v>92</v>
      </c>
      <c r="G27" s="12" t="s">
        <v>17</v>
      </c>
      <c r="H27" s="14" t="s">
        <v>93</v>
      </c>
      <c r="I27" s="14"/>
    </row>
    <row r="28" spans="1:9" ht="7.5" customHeight="1" x14ac:dyDescent="0.2"/>
    <row r="29" spans="1:9" ht="31.5" customHeight="1" x14ac:dyDescent="0.2">
      <c r="A29" s="6" t="s">
        <v>94</v>
      </c>
      <c r="B29" s="7" t="s">
        <v>12</v>
      </c>
      <c r="C29" s="6" t="s">
        <v>95</v>
      </c>
      <c r="D29" s="8" t="s">
        <v>54</v>
      </c>
      <c r="E29" s="9" t="s">
        <v>27</v>
      </c>
      <c r="F29" s="6" t="s">
        <v>28</v>
      </c>
      <c r="G29" s="6" t="s">
        <v>17</v>
      </c>
      <c r="H29" s="8" t="s">
        <v>96</v>
      </c>
      <c r="I29" s="8"/>
    </row>
    <row r="30" spans="1:9" ht="31.5" customHeight="1" x14ac:dyDescent="0.2">
      <c r="A30" s="6" t="s">
        <v>97</v>
      </c>
      <c r="B30" s="7" t="s">
        <v>20</v>
      </c>
      <c r="C30" s="6" t="s">
        <v>95</v>
      </c>
      <c r="D30" s="8" t="s">
        <v>21</v>
      </c>
      <c r="E30" s="10" t="s">
        <v>22</v>
      </c>
      <c r="F30" s="6" t="s">
        <v>16</v>
      </c>
      <c r="G30" s="6" t="s">
        <v>17</v>
      </c>
      <c r="H30" s="8" t="s">
        <v>98</v>
      </c>
      <c r="I30" s="8"/>
    </row>
    <row r="31" spans="1:9" ht="31.5" customHeight="1" x14ac:dyDescent="0.2">
      <c r="A31" s="6" t="s">
        <v>99</v>
      </c>
      <c r="B31" s="7" t="s">
        <v>25</v>
      </c>
      <c r="C31" s="6" t="s">
        <v>95</v>
      </c>
      <c r="D31" s="8" t="s">
        <v>26</v>
      </c>
      <c r="E31" s="9" t="s">
        <v>27</v>
      </c>
      <c r="F31" s="6" t="s">
        <v>59</v>
      </c>
      <c r="G31" s="6" t="s">
        <v>17</v>
      </c>
      <c r="H31" s="8"/>
      <c r="I31" s="8"/>
    </row>
    <row r="32" spans="1:9" ht="31.5" customHeight="1" x14ac:dyDescent="0.2">
      <c r="A32" s="6" t="s">
        <v>100</v>
      </c>
      <c r="B32" s="7" t="s">
        <v>31</v>
      </c>
      <c r="C32" s="6" t="s">
        <v>95</v>
      </c>
      <c r="D32" s="8" t="s">
        <v>62</v>
      </c>
      <c r="E32" s="10" t="s">
        <v>63</v>
      </c>
      <c r="F32" s="6" t="s">
        <v>64</v>
      </c>
      <c r="G32" s="6" t="s">
        <v>17</v>
      </c>
      <c r="H32" s="8" t="s">
        <v>101</v>
      </c>
      <c r="I32" s="8"/>
    </row>
    <row r="33" spans="1:9" ht="31.5" customHeight="1" x14ac:dyDescent="0.2">
      <c r="A33" s="6" t="s">
        <v>102</v>
      </c>
      <c r="B33" s="7" t="s">
        <v>37</v>
      </c>
      <c r="C33" s="6" t="s">
        <v>95</v>
      </c>
      <c r="D33" s="8" t="s">
        <v>67</v>
      </c>
      <c r="E33" s="9" t="s">
        <v>15</v>
      </c>
      <c r="F33" s="6" t="s">
        <v>16</v>
      </c>
      <c r="G33" s="6" t="s">
        <v>17</v>
      </c>
      <c r="H33" s="8"/>
      <c r="I33" s="8"/>
    </row>
    <row r="34" spans="1:9" ht="31.5" customHeight="1" x14ac:dyDescent="0.2">
      <c r="A34" s="6" t="s">
        <v>103</v>
      </c>
      <c r="B34" s="7" t="s">
        <v>43</v>
      </c>
      <c r="C34" s="6" t="s">
        <v>95</v>
      </c>
      <c r="D34" s="8" t="s">
        <v>70</v>
      </c>
      <c r="E34" s="10" t="s">
        <v>71</v>
      </c>
      <c r="F34" s="6" t="s">
        <v>104</v>
      </c>
      <c r="G34" s="6" t="s">
        <v>17</v>
      </c>
      <c r="H34" s="8" t="s">
        <v>105</v>
      </c>
      <c r="I34" s="8"/>
    </row>
    <row r="35" spans="1:9" ht="31.5" customHeight="1" x14ac:dyDescent="0.2">
      <c r="A35" s="12" t="s">
        <v>106</v>
      </c>
      <c r="B35" s="13" t="s">
        <v>48</v>
      </c>
      <c r="C35" s="12" t="s">
        <v>95</v>
      </c>
      <c r="D35" s="14" t="s">
        <v>74</v>
      </c>
      <c r="E35" s="16" t="s">
        <v>75</v>
      </c>
      <c r="F35" s="12" t="s">
        <v>76</v>
      </c>
      <c r="G35" s="12" t="s">
        <v>17</v>
      </c>
      <c r="H35" s="14" t="s">
        <v>107</v>
      </c>
      <c r="I35" s="14"/>
    </row>
    <row r="36" spans="1:9" ht="7.5" customHeight="1" x14ac:dyDescent="0.2"/>
    <row r="37" spans="1:9" ht="31.5" customHeight="1" x14ac:dyDescent="0.2">
      <c r="A37" s="6" t="s">
        <v>108</v>
      </c>
      <c r="B37" s="7" t="s">
        <v>12</v>
      </c>
      <c r="C37" s="6" t="s">
        <v>109</v>
      </c>
      <c r="D37" s="8" t="s">
        <v>54</v>
      </c>
      <c r="E37" s="9" t="s">
        <v>27</v>
      </c>
      <c r="F37" s="6" t="s">
        <v>28</v>
      </c>
      <c r="G37" s="6" t="s">
        <v>17</v>
      </c>
      <c r="H37" s="8" t="s">
        <v>110</v>
      </c>
      <c r="I37" s="8"/>
    </row>
    <row r="38" spans="1:9" ht="31.5" customHeight="1" x14ac:dyDescent="0.2">
      <c r="A38" s="6" t="s">
        <v>111</v>
      </c>
      <c r="B38" s="7" t="s">
        <v>20</v>
      </c>
      <c r="C38" s="6" t="s">
        <v>109</v>
      </c>
      <c r="D38" s="8" t="s">
        <v>21</v>
      </c>
      <c r="E38" s="10" t="s">
        <v>22</v>
      </c>
      <c r="F38" s="6" t="s">
        <v>16</v>
      </c>
      <c r="G38" s="6" t="s">
        <v>17</v>
      </c>
      <c r="H38" s="8" t="s">
        <v>82</v>
      </c>
      <c r="I38" s="8"/>
    </row>
    <row r="39" spans="1:9" ht="31.5" customHeight="1" x14ac:dyDescent="0.2">
      <c r="A39" s="6" t="s">
        <v>112</v>
      </c>
      <c r="B39" s="7" t="s">
        <v>25</v>
      </c>
      <c r="C39" s="6" t="s">
        <v>109</v>
      </c>
      <c r="D39" s="8" t="s">
        <v>26</v>
      </c>
      <c r="E39" s="9" t="s">
        <v>27</v>
      </c>
      <c r="F39" s="6" t="s">
        <v>59</v>
      </c>
      <c r="G39" s="6" t="s">
        <v>17</v>
      </c>
      <c r="H39" s="8"/>
      <c r="I39" s="8"/>
    </row>
    <row r="40" spans="1:9" ht="31.5" customHeight="1" x14ac:dyDescent="0.2">
      <c r="A40" s="6" t="s">
        <v>113</v>
      </c>
      <c r="B40" s="7" t="s">
        <v>31</v>
      </c>
      <c r="C40" s="6" t="s">
        <v>109</v>
      </c>
      <c r="D40" s="8" t="s">
        <v>62</v>
      </c>
      <c r="E40" s="10" t="s">
        <v>63</v>
      </c>
      <c r="F40" s="6" t="s">
        <v>85</v>
      </c>
      <c r="G40" s="6" t="s">
        <v>17</v>
      </c>
      <c r="H40" s="8" t="s">
        <v>114</v>
      </c>
      <c r="I40" s="8"/>
    </row>
    <row r="41" spans="1:9" ht="31.5" customHeight="1" x14ac:dyDescent="0.2">
      <c r="A41" s="6" t="s">
        <v>115</v>
      </c>
      <c r="B41" s="7" t="s">
        <v>37</v>
      </c>
      <c r="C41" s="6" t="s">
        <v>109</v>
      </c>
      <c r="D41" s="8" t="s">
        <v>67</v>
      </c>
      <c r="E41" s="9" t="s">
        <v>15</v>
      </c>
      <c r="F41" s="6" t="s">
        <v>16</v>
      </c>
      <c r="G41" s="6" t="s">
        <v>17</v>
      </c>
      <c r="H41" s="8"/>
      <c r="I41" s="8"/>
    </row>
    <row r="42" spans="1:9" ht="31.5" customHeight="1" x14ac:dyDescent="0.2">
      <c r="A42" s="6" t="s">
        <v>116</v>
      </c>
      <c r="B42" s="7" t="s">
        <v>43</v>
      </c>
      <c r="C42" s="6" t="s">
        <v>109</v>
      </c>
      <c r="D42" s="8" t="s">
        <v>70</v>
      </c>
      <c r="E42" s="10" t="s">
        <v>71</v>
      </c>
      <c r="F42" s="6" t="s">
        <v>117</v>
      </c>
      <c r="G42" s="6" t="s">
        <v>17</v>
      </c>
      <c r="H42" s="8" t="s">
        <v>118</v>
      </c>
      <c r="I42" s="8"/>
    </row>
    <row r="43" spans="1:9" ht="31.5" customHeight="1" x14ac:dyDescent="0.2">
      <c r="A43" s="12" t="s">
        <v>119</v>
      </c>
      <c r="B43" s="13" t="s">
        <v>48</v>
      </c>
      <c r="C43" s="12" t="s">
        <v>109</v>
      </c>
      <c r="D43" s="14" t="s">
        <v>74</v>
      </c>
      <c r="E43" s="16" t="s">
        <v>75</v>
      </c>
      <c r="F43" s="12" t="s">
        <v>92</v>
      </c>
      <c r="G43" s="12" t="s">
        <v>17</v>
      </c>
      <c r="H43" s="14" t="s">
        <v>120</v>
      </c>
      <c r="I43" s="14"/>
    </row>
    <row r="44" spans="1:9" ht="7.5" customHeight="1" x14ac:dyDescent="0.2"/>
    <row r="45" spans="1:9" ht="31.5" customHeight="1" x14ac:dyDescent="0.2">
      <c r="A45" s="6" t="s">
        <v>121</v>
      </c>
      <c r="B45" s="7" t="s">
        <v>12</v>
      </c>
      <c r="C45" s="6" t="s">
        <v>122</v>
      </c>
      <c r="D45" s="8" t="s">
        <v>54</v>
      </c>
      <c r="E45" s="9" t="s">
        <v>27</v>
      </c>
      <c r="F45" s="6" t="s">
        <v>28</v>
      </c>
      <c r="G45" s="6" t="s">
        <v>17</v>
      </c>
      <c r="H45" s="8" t="s">
        <v>123</v>
      </c>
      <c r="I45" s="8"/>
    </row>
    <row r="46" spans="1:9" ht="31.5" customHeight="1" x14ac:dyDescent="0.2">
      <c r="A46" s="6" t="s">
        <v>124</v>
      </c>
      <c r="B46" s="7" t="s">
        <v>20</v>
      </c>
      <c r="C46" s="6" t="s">
        <v>122</v>
      </c>
      <c r="D46" s="8" t="s">
        <v>21</v>
      </c>
      <c r="E46" s="10" t="s">
        <v>22</v>
      </c>
      <c r="F46" s="6" t="s">
        <v>16</v>
      </c>
      <c r="G46" s="6" t="s">
        <v>17</v>
      </c>
      <c r="H46" s="8" t="s">
        <v>82</v>
      </c>
      <c r="I46" s="8"/>
    </row>
    <row r="47" spans="1:9" ht="31.5" customHeight="1" x14ac:dyDescent="0.2">
      <c r="A47" s="6" t="s">
        <v>125</v>
      </c>
      <c r="B47" s="7" t="s">
        <v>25</v>
      </c>
      <c r="C47" s="6" t="s">
        <v>122</v>
      </c>
      <c r="D47" s="8" t="s">
        <v>26</v>
      </c>
      <c r="E47" s="9" t="s">
        <v>27</v>
      </c>
      <c r="F47" s="6" t="s">
        <v>28</v>
      </c>
      <c r="G47" s="6" t="s">
        <v>17</v>
      </c>
      <c r="H47" s="8"/>
      <c r="I47" s="8"/>
    </row>
    <row r="48" spans="1:9" ht="31.5" customHeight="1" x14ac:dyDescent="0.2">
      <c r="A48" s="6" t="s">
        <v>126</v>
      </c>
      <c r="B48" s="7" t="s">
        <v>31</v>
      </c>
      <c r="C48" s="6" t="s">
        <v>122</v>
      </c>
      <c r="D48" s="8" t="s">
        <v>62</v>
      </c>
      <c r="E48" s="10" t="s">
        <v>63</v>
      </c>
      <c r="F48" s="6" t="s">
        <v>85</v>
      </c>
      <c r="G48" s="6" t="s">
        <v>17</v>
      </c>
      <c r="H48" s="8" t="s">
        <v>120</v>
      </c>
      <c r="I48" s="8"/>
    </row>
    <row r="49" spans="1:9" ht="31.5" customHeight="1" x14ac:dyDescent="0.2">
      <c r="A49" s="6" t="s">
        <v>127</v>
      </c>
      <c r="B49" s="7" t="s">
        <v>37</v>
      </c>
      <c r="C49" s="6" t="s">
        <v>122</v>
      </c>
      <c r="D49" s="8" t="s">
        <v>32</v>
      </c>
      <c r="E49" s="11" t="s">
        <v>33</v>
      </c>
      <c r="F49" s="6" t="s">
        <v>34</v>
      </c>
      <c r="G49" s="6" t="s">
        <v>17</v>
      </c>
      <c r="H49" s="8" t="s">
        <v>128</v>
      </c>
      <c r="I49" s="8"/>
    </row>
    <row r="50" spans="1:9" ht="31.5" customHeight="1" x14ac:dyDescent="0.2">
      <c r="A50" s="6" t="s">
        <v>129</v>
      </c>
      <c r="B50" s="7" t="s">
        <v>43</v>
      </c>
      <c r="C50" s="6" t="s">
        <v>122</v>
      </c>
      <c r="D50" s="8" t="s">
        <v>130</v>
      </c>
      <c r="E50" s="11" t="s">
        <v>45</v>
      </c>
      <c r="F50" s="6" t="s">
        <v>131</v>
      </c>
      <c r="G50" s="6" t="s">
        <v>17</v>
      </c>
      <c r="H50" s="8" t="s">
        <v>132</v>
      </c>
      <c r="I50" s="8"/>
    </row>
    <row r="51" spans="1:9" ht="31.5" customHeight="1" x14ac:dyDescent="0.2">
      <c r="A51" s="12" t="s">
        <v>133</v>
      </c>
      <c r="B51" s="13" t="s">
        <v>48</v>
      </c>
      <c r="C51" s="12" t="s">
        <v>122</v>
      </c>
      <c r="D51" s="14" t="s">
        <v>49</v>
      </c>
      <c r="E51" s="15" t="s">
        <v>50</v>
      </c>
      <c r="F51" s="12" t="s">
        <v>34</v>
      </c>
      <c r="G51" s="12" t="s">
        <v>17</v>
      </c>
      <c r="H51" s="14" t="s">
        <v>134</v>
      </c>
      <c r="I51" s="14"/>
    </row>
    <row r="52" spans="1:9" ht="7.5" customHeight="1" x14ac:dyDescent="0.2"/>
    <row r="53" spans="1:9" ht="31.5" customHeight="1" x14ac:dyDescent="0.2">
      <c r="A53" s="6" t="s">
        <v>135</v>
      </c>
      <c r="B53" s="7" t="s">
        <v>12</v>
      </c>
      <c r="C53" s="6" t="s">
        <v>136</v>
      </c>
      <c r="D53" s="8" t="s">
        <v>54</v>
      </c>
      <c r="E53" s="9" t="s">
        <v>27</v>
      </c>
      <c r="F53" s="6" t="s">
        <v>28</v>
      </c>
      <c r="G53" s="6" t="s">
        <v>17</v>
      </c>
      <c r="H53" s="8" t="s">
        <v>137</v>
      </c>
      <c r="I53" s="8"/>
    </row>
    <row r="54" spans="1:9" ht="31.5" customHeight="1" x14ac:dyDescent="0.2">
      <c r="A54" s="6" t="s">
        <v>138</v>
      </c>
      <c r="B54" s="7" t="s">
        <v>20</v>
      </c>
      <c r="C54" s="6" t="s">
        <v>136</v>
      </c>
      <c r="D54" s="8" t="s">
        <v>21</v>
      </c>
      <c r="E54" s="10" t="s">
        <v>22</v>
      </c>
      <c r="F54" s="6" t="s">
        <v>16</v>
      </c>
      <c r="G54" s="6" t="s">
        <v>17</v>
      </c>
      <c r="H54" s="8" t="s">
        <v>82</v>
      </c>
      <c r="I54" s="8"/>
    </row>
    <row r="55" spans="1:9" ht="31.5" customHeight="1" x14ac:dyDescent="0.2">
      <c r="A55" s="6" t="s">
        <v>139</v>
      </c>
      <c r="B55" s="7" t="s">
        <v>25</v>
      </c>
      <c r="C55" s="6" t="s">
        <v>136</v>
      </c>
      <c r="D55" s="8" t="s">
        <v>26</v>
      </c>
      <c r="E55" s="9" t="s">
        <v>27</v>
      </c>
      <c r="F55" s="6" t="s">
        <v>59</v>
      </c>
      <c r="G55" s="6" t="s">
        <v>17</v>
      </c>
      <c r="H55" s="8"/>
      <c r="I55" s="8"/>
    </row>
    <row r="56" spans="1:9" ht="31.5" customHeight="1" x14ac:dyDescent="0.2">
      <c r="A56" s="6" t="s">
        <v>140</v>
      </c>
      <c r="B56" s="7" t="s">
        <v>31</v>
      </c>
      <c r="C56" s="6" t="s">
        <v>136</v>
      </c>
      <c r="D56" s="8" t="s">
        <v>62</v>
      </c>
      <c r="E56" s="10" t="s">
        <v>63</v>
      </c>
      <c r="F56" s="6" t="s">
        <v>28</v>
      </c>
      <c r="G56" s="6" t="s">
        <v>17</v>
      </c>
      <c r="H56" s="8" t="s">
        <v>141</v>
      </c>
      <c r="I56" s="8"/>
    </row>
    <row r="57" spans="1:9" ht="31.5" customHeight="1" x14ac:dyDescent="0.2">
      <c r="A57" s="6" t="s">
        <v>142</v>
      </c>
      <c r="B57" s="7" t="s">
        <v>37</v>
      </c>
      <c r="C57" s="6" t="s">
        <v>136</v>
      </c>
      <c r="D57" s="8" t="s">
        <v>67</v>
      </c>
      <c r="E57" s="9" t="s">
        <v>15</v>
      </c>
      <c r="F57" s="6" t="s">
        <v>16</v>
      </c>
      <c r="G57" s="6" t="s">
        <v>17</v>
      </c>
      <c r="H57" s="8"/>
      <c r="I57" s="8"/>
    </row>
    <row r="58" spans="1:9" ht="31.5" customHeight="1" x14ac:dyDescent="0.2">
      <c r="A58" s="6" t="s">
        <v>143</v>
      </c>
      <c r="B58" s="7" t="s">
        <v>43</v>
      </c>
      <c r="C58" s="6" t="s">
        <v>136</v>
      </c>
      <c r="D58" s="8" t="s">
        <v>70</v>
      </c>
      <c r="E58" s="10" t="s">
        <v>71</v>
      </c>
      <c r="F58" s="6" t="s">
        <v>144</v>
      </c>
      <c r="G58" s="6" t="s">
        <v>17</v>
      </c>
      <c r="H58" s="8"/>
      <c r="I58" s="8"/>
    </row>
    <row r="59" spans="1:9" ht="31.5" customHeight="1" x14ac:dyDescent="0.2">
      <c r="A59" s="12" t="s">
        <v>145</v>
      </c>
      <c r="B59" s="13" t="s">
        <v>48</v>
      </c>
      <c r="C59" s="12" t="s">
        <v>136</v>
      </c>
      <c r="D59" s="14" t="s">
        <v>74</v>
      </c>
      <c r="E59" s="16" t="s">
        <v>75</v>
      </c>
      <c r="F59" s="12" t="s">
        <v>146</v>
      </c>
      <c r="G59" s="12" t="s">
        <v>17</v>
      </c>
      <c r="H59" s="14" t="s">
        <v>120</v>
      </c>
      <c r="I59" s="14"/>
    </row>
    <row r="60" spans="1:9" ht="7.5" customHeight="1" x14ac:dyDescent="0.2"/>
    <row r="61" spans="1:9" ht="31.5" customHeight="1" x14ac:dyDescent="0.2">
      <c r="A61" s="6" t="s">
        <v>147</v>
      </c>
      <c r="B61" s="7" t="s">
        <v>12</v>
      </c>
      <c r="C61" s="6" t="s">
        <v>148</v>
      </c>
      <c r="D61" s="8" t="s">
        <v>54</v>
      </c>
      <c r="E61" s="9" t="s">
        <v>27</v>
      </c>
      <c r="F61" s="6" t="s">
        <v>28</v>
      </c>
      <c r="G61" s="6" t="s">
        <v>17</v>
      </c>
      <c r="H61" s="8" t="s">
        <v>149</v>
      </c>
      <c r="I61" s="8"/>
    </row>
    <row r="62" spans="1:9" ht="31.5" customHeight="1" x14ac:dyDescent="0.2">
      <c r="A62" s="6" t="s">
        <v>150</v>
      </c>
      <c r="B62" s="7" t="s">
        <v>20</v>
      </c>
      <c r="C62" s="6" t="s">
        <v>148</v>
      </c>
      <c r="D62" s="8" t="s">
        <v>21</v>
      </c>
      <c r="E62" s="10" t="s">
        <v>22</v>
      </c>
      <c r="F62" s="6" t="s">
        <v>16</v>
      </c>
      <c r="G62" s="6" t="s">
        <v>17</v>
      </c>
      <c r="H62" s="8" t="s">
        <v>151</v>
      </c>
      <c r="I62" s="8"/>
    </row>
    <row r="63" spans="1:9" ht="31.5" customHeight="1" x14ac:dyDescent="0.2">
      <c r="A63" s="6" t="s">
        <v>152</v>
      </c>
      <c r="B63" s="7" t="s">
        <v>25</v>
      </c>
      <c r="C63" s="6" t="s">
        <v>148</v>
      </c>
      <c r="D63" s="8" t="s">
        <v>26</v>
      </c>
      <c r="E63" s="9" t="s">
        <v>27</v>
      </c>
      <c r="F63" s="6" t="s">
        <v>153</v>
      </c>
      <c r="G63" s="6" t="s">
        <v>17</v>
      </c>
      <c r="H63" s="8"/>
      <c r="I63" s="8"/>
    </row>
    <row r="64" spans="1:9" ht="31.5" customHeight="1" x14ac:dyDescent="0.2">
      <c r="A64" s="6" t="s">
        <v>154</v>
      </c>
      <c r="B64" s="7" t="s">
        <v>31</v>
      </c>
      <c r="C64" s="6" t="s">
        <v>148</v>
      </c>
      <c r="D64" s="8" t="s">
        <v>62</v>
      </c>
      <c r="E64" s="10" t="s">
        <v>63</v>
      </c>
      <c r="F64" s="6" t="s">
        <v>155</v>
      </c>
      <c r="G64" s="6" t="s">
        <v>17</v>
      </c>
      <c r="H64" s="8" t="s">
        <v>156</v>
      </c>
      <c r="I64" s="8"/>
    </row>
    <row r="65" spans="1:9" ht="31.5" customHeight="1" x14ac:dyDescent="0.2">
      <c r="A65" s="6" t="s">
        <v>157</v>
      </c>
      <c r="B65" s="7" t="s">
        <v>37</v>
      </c>
      <c r="C65" s="6" t="s">
        <v>148</v>
      </c>
      <c r="D65" s="8" t="s">
        <v>67</v>
      </c>
      <c r="E65" s="9" t="s">
        <v>15</v>
      </c>
      <c r="F65" s="6" t="s">
        <v>16</v>
      </c>
      <c r="G65" s="6" t="s">
        <v>17</v>
      </c>
      <c r="H65" s="8"/>
      <c r="I65" s="8"/>
    </row>
    <row r="66" spans="1:9" ht="31.5" customHeight="1" x14ac:dyDescent="0.2">
      <c r="A66" s="6" t="s">
        <v>158</v>
      </c>
      <c r="B66" s="7" t="s">
        <v>43</v>
      </c>
      <c r="C66" s="6" t="s">
        <v>148</v>
      </c>
      <c r="D66" s="8" t="s">
        <v>70</v>
      </c>
      <c r="E66" s="10" t="s">
        <v>71</v>
      </c>
      <c r="F66" s="6" t="s">
        <v>159</v>
      </c>
      <c r="G66" s="6" t="s">
        <v>17</v>
      </c>
      <c r="H66" s="8" t="s">
        <v>160</v>
      </c>
      <c r="I66" s="8"/>
    </row>
    <row r="67" spans="1:9" ht="31.5" customHeight="1" x14ac:dyDescent="0.2">
      <c r="A67" s="12" t="s">
        <v>161</v>
      </c>
      <c r="B67" s="13" t="s">
        <v>48</v>
      </c>
      <c r="C67" s="12" t="s">
        <v>148</v>
      </c>
      <c r="D67" s="14" t="s">
        <v>74</v>
      </c>
      <c r="E67" s="16" t="s">
        <v>75</v>
      </c>
      <c r="F67" s="12" t="s">
        <v>162</v>
      </c>
      <c r="G67" s="12" t="s">
        <v>17</v>
      </c>
      <c r="H67" s="14" t="s">
        <v>163</v>
      </c>
      <c r="I67" s="14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8" customWidth="1"/>
    <col min="2" max="2" width="16" customWidth="1"/>
    <col min="3" max="3" width="14" customWidth="1"/>
    <col min="4" max="4" width="22" customWidth="1"/>
    <col min="5" max="5" width="50" customWidth="1"/>
  </cols>
  <sheetData>
    <row r="1" spans="1:5" ht="36" customHeight="1" x14ac:dyDescent="0.2">
      <c r="A1" s="4" t="s">
        <v>164</v>
      </c>
      <c r="B1" s="4"/>
      <c r="C1" s="4"/>
      <c r="D1" s="4"/>
      <c r="E1" s="4"/>
    </row>
    <row r="2" spans="1:5" ht="21.75" customHeight="1" x14ac:dyDescent="0.2">
      <c r="A2" s="3" t="s">
        <v>165</v>
      </c>
      <c r="B2" s="3"/>
      <c r="C2" s="3"/>
      <c r="D2" s="3"/>
      <c r="E2" s="3"/>
    </row>
    <row r="4" spans="1:5" ht="27.75" customHeight="1" x14ac:dyDescent="0.2">
      <c r="A4" s="5" t="s">
        <v>166</v>
      </c>
      <c r="B4" s="5" t="s">
        <v>167</v>
      </c>
      <c r="C4" s="5" t="s">
        <v>168</v>
      </c>
      <c r="D4" s="5" t="s">
        <v>169</v>
      </c>
      <c r="E4" s="5" t="s">
        <v>9</v>
      </c>
    </row>
    <row r="5" spans="1:5" ht="24" customHeight="1" x14ac:dyDescent="0.2">
      <c r="A5" s="17" t="s">
        <v>170</v>
      </c>
      <c r="B5" s="17"/>
      <c r="C5" s="17"/>
      <c r="D5" s="17"/>
      <c r="E5" s="17"/>
    </row>
    <row r="6" spans="1:5" ht="30" customHeight="1" x14ac:dyDescent="0.2">
      <c r="A6" s="8" t="s">
        <v>171</v>
      </c>
      <c r="B6" s="18" t="s">
        <v>172</v>
      </c>
      <c r="C6" s="8" t="s">
        <v>173</v>
      </c>
      <c r="D6" s="8" t="s">
        <v>174</v>
      </c>
      <c r="E6" s="8" t="s">
        <v>175</v>
      </c>
    </row>
    <row r="7" spans="1:5" ht="30" customHeight="1" x14ac:dyDescent="0.2">
      <c r="A7" s="8" t="s">
        <v>176</v>
      </c>
      <c r="B7" s="18" t="s">
        <v>172</v>
      </c>
      <c r="C7" s="8" t="s">
        <v>177</v>
      </c>
      <c r="D7" s="8" t="s">
        <v>174</v>
      </c>
      <c r="E7" s="8" t="s">
        <v>178</v>
      </c>
    </row>
    <row r="8" spans="1:5" ht="30" customHeight="1" x14ac:dyDescent="0.2">
      <c r="A8" s="8" t="s">
        <v>179</v>
      </c>
      <c r="B8" s="18" t="s">
        <v>172</v>
      </c>
      <c r="C8" s="8" t="s">
        <v>180</v>
      </c>
      <c r="D8" s="8" t="s">
        <v>174</v>
      </c>
      <c r="E8" s="8" t="s">
        <v>181</v>
      </c>
    </row>
    <row r="9" spans="1:5" ht="30" customHeight="1" x14ac:dyDescent="0.2">
      <c r="A9" s="8" t="s">
        <v>182</v>
      </c>
      <c r="B9" s="18" t="s">
        <v>172</v>
      </c>
      <c r="C9" s="8" t="s">
        <v>183</v>
      </c>
      <c r="D9" s="8" t="s">
        <v>174</v>
      </c>
      <c r="E9" s="8" t="s">
        <v>184</v>
      </c>
    </row>
    <row r="10" spans="1:5" ht="30" customHeight="1" x14ac:dyDescent="0.2">
      <c r="A10" s="8" t="s">
        <v>185</v>
      </c>
      <c r="B10" s="18" t="s">
        <v>186</v>
      </c>
      <c r="C10" s="8" t="s">
        <v>187</v>
      </c>
      <c r="D10" s="8" t="s">
        <v>174</v>
      </c>
      <c r="E10" s="8" t="s">
        <v>188</v>
      </c>
    </row>
    <row r="11" spans="1:5" ht="30" customHeight="1" x14ac:dyDescent="0.2">
      <c r="A11" s="8" t="s">
        <v>189</v>
      </c>
      <c r="B11" s="18" t="s">
        <v>190</v>
      </c>
      <c r="C11" s="8" t="s">
        <v>191</v>
      </c>
      <c r="D11" s="8" t="s">
        <v>174</v>
      </c>
      <c r="E11" s="8" t="s">
        <v>192</v>
      </c>
    </row>
    <row r="12" spans="1:5" ht="30" customHeight="1" x14ac:dyDescent="0.2">
      <c r="A12" s="8" t="s">
        <v>193</v>
      </c>
      <c r="B12" s="18" t="s">
        <v>190</v>
      </c>
      <c r="C12" s="8" t="s">
        <v>191</v>
      </c>
      <c r="D12" s="8" t="s">
        <v>174</v>
      </c>
      <c r="E12" s="8"/>
    </row>
    <row r="13" spans="1:5" ht="24" customHeight="1" x14ac:dyDescent="0.2">
      <c r="A13" s="17" t="s">
        <v>194</v>
      </c>
      <c r="B13" s="17"/>
      <c r="C13" s="17"/>
      <c r="D13" s="17"/>
      <c r="E13" s="17"/>
    </row>
    <row r="14" spans="1:5" ht="30" customHeight="1" x14ac:dyDescent="0.2">
      <c r="A14" s="8" t="s">
        <v>195</v>
      </c>
      <c r="B14" s="19" t="s">
        <v>196</v>
      </c>
      <c r="C14" s="8" t="s">
        <v>197</v>
      </c>
      <c r="D14" s="8" t="s">
        <v>198</v>
      </c>
      <c r="E14" s="8" t="s">
        <v>199</v>
      </c>
    </row>
    <row r="15" spans="1:5" ht="30" customHeight="1" x14ac:dyDescent="0.2">
      <c r="A15" s="8" t="s">
        <v>200</v>
      </c>
      <c r="B15" s="19" t="s">
        <v>201</v>
      </c>
      <c r="C15" s="8" t="s">
        <v>202</v>
      </c>
      <c r="D15" s="8" t="s">
        <v>203</v>
      </c>
      <c r="E15" s="8" t="s">
        <v>204</v>
      </c>
    </row>
    <row r="16" spans="1:5" ht="30" customHeight="1" x14ac:dyDescent="0.2">
      <c r="A16" s="8" t="s">
        <v>205</v>
      </c>
      <c r="B16" s="19" t="s">
        <v>201</v>
      </c>
      <c r="C16" s="8" t="s">
        <v>206</v>
      </c>
      <c r="D16" s="8" t="s">
        <v>203</v>
      </c>
      <c r="E16" s="8" t="s">
        <v>207</v>
      </c>
    </row>
    <row r="17" spans="1:5" ht="30" customHeight="1" x14ac:dyDescent="0.2">
      <c r="A17" s="8" t="s">
        <v>208</v>
      </c>
      <c r="B17" s="19" t="s">
        <v>209</v>
      </c>
      <c r="C17" s="8" t="s">
        <v>210</v>
      </c>
      <c r="D17" s="8" t="s">
        <v>211</v>
      </c>
      <c r="E17" s="8" t="s">
        <v>212</v>
      </c>
    </row>
    <row r="18" spans="1:5" ht="30" customHeight="1" x14ac:dyDescent="0.2">
      <c r="A18" s="8" t="s">
        <v>213</v>
      </c>
      <c r="B18" s="8" t="s">
        <v>214</v>
      </c>
      <c r="C18" s="8" t="s">
        <v>215</v>
      </c>
      <c r="D18" s="8" t="s">
        <v>216</v>
      </c>
      <c r="E18" s="8" t="s">
        <v>217</v>
      </c>
    </row>
    <row r="19" spans="1:5" ht="24" customHeight="1" x14ac:dyDescent="0.2">
      <c r="A19" s="17" t="s">
        <v>218</v>
      </c>
      <c r="B19" s="17"/>
      <c r="C19" s="17"/>
      <c r="D19" s="17"/>
      <c r="E19" s="17"/>
    </row>
    <row r="20" spans="1:5" ht="30" customHeight="1" x14ac:dyDescent="0.2">
      <c r="A20" s="8" t="s">
        <v>219</v>
      </c>
      <c r="B20" s="8" t="s">
        <v>220</v>
      </c>
      <c r="C20" s="8" t="s">
        <v>221</v>
      </c>
      <c r="D20" s="8" t="s">
        <v>13</v>
      </c>
      <c r="E20" s="8" t="s">
        <v>222</v>
      </c>
    </row>
    <row r="21" spans="1:5" ht="30" customHeight="1" x14ac:dyDescent="0.2">
      <c r="A21" s="8" t="s">
        <v>223</v>
      </c>
      <c r="B21" s="8" t="s">
        <v>220</v>
      </c>
      <c r="C21" s="8" t="s">
        <v>180</v>
      </c>
      <c r="D21" s="8" t="s">
        <v>224</v>
      </c>
      <c r="E21" s="8" t="s">
        <v>225</v>
      </c>
    </row>
    <row r="22" spans="1:5" ht="30" customHeight="1" x14ac:dyDescent="0.2">
      <c r="A22" s="8" t="s">
        <v>226</v>
      </c>
      <c r="B22" s="8" t="s">
        <v>220</v>
      </c>
      <c r="C22" s="8" t="s">
        <v>227</v>
      </c>
      <c r="D22" s="8" t="s">
        <v>174</v>
      </c>
      <c r="E22" s="8" t="s">
        <v>228</v>
      </c>
    </row>
    <row r="23" spans="1:5" ht="30" customHeight="1" x14ac:dyDescent="0.2">
      <c r="A23" s="8" t="s">
        <v>229</v>
      </c>
      <c r="B23" s="8" t="s">
        <v>220</v>
      </c>
      <c r="C23" s="8" t="s">
        <v>230</v>
      </c>
      <c r="D23" s="8" t="s">
        <v>13</v>
      </c>
      <c r="E23" s="8" t="s">
        <v>231</v>
      </c>
    </row>
    <row r="24" spans="1:5" ht="30" customHeight="1" x14ac:dyDescent="0.2">
      <c r="A24" s="8" t="s">
        <v>232</v>
      </c>
      <c r="B24" s="8" t="s">
        <v>220</v>
      </c>
      <c r="C24" s="8" t="s">
        <v>233</v>
      </c>
      <c r="D24" s="8" t="s">
        <v>13</v>
      </c>
      <c r="E24" s="8" t="s">
        <v>234</v>
      </c>
    </row>
    <row r="25" spans="1:5" ht="30" customHeight="1" x14ac:dyDescent="0.2">
      <c r="A25" s="8" t="s">
        <v>235</v>
      </c>
      <c r="B25" s="8" t="s">
        <v>220</v>
      </c>
      <c r="C25" s="8" t="s">
        <v>236</v>
      </c>
      <c r="D25" s="8" t="s">
        <v>237</v>
      </c>
      <c r="E25" s="8" t="s">
        <v>238</v>
      </c>
    </row>
    <row r="26" spans="1:5" ht="30" customHeight="1" x14ac:dyDescent="0.2">
      <c r="A26" s="8" t="s">
        <v>239</v>
      </c>
      <c r="B26" s="8" t="s">
        <v>220</v>
      </c>
      <c r="C26" s="8" t="s">
        <v>240</v>
      </c>
      <c r="D26" s="8" t="s">
        <v>237</v>
      </c>
      <c r="E26" s="8" t="s">
        <v>241</v>
      </c>
    </row>
    <row r="27" spans="1:5" ht="30" customHeight="1" x14ac:dyDescent="0.2">
      <c r="A27" s="8" t="s">
        <v>242</v>
      </c>
      <c r="B27" s="8" t="s">
        <v>220</v>
      </c>
      <c r="C27" s="8" t="s">
        <v>243</v>
      </c>
      <c r="D27" s="8" t="s">
        <v>244</v>
      </c>
      <c r="E27" s="8" t="s">
        <v>245</v>
      </c>
    </row>
    <row r="28" spans="1:5" ht="30" customHeight="1" x14ac:dyDescent="0.2">
      <c r="A28" s="8" t="s">
        <v>246</v>
      </c>
      <c r="B28" s="8" t="s">
        <v>220</v>
      </c>
      <c r="C28" s="8" t="s">
        <v>247</v>
      </c>
      <c r="D28" s="8" t="s">
        <v>13</v>
      </c>
      <c r="E28" s="8" t="s">
        <v>248</v>
      </c>
    </row>
    <row r="29" spans="1:5" ht="24" customHeight="1" x14ac:dyDescent="0.2">
      <c r="A29" s="17" t="s">
        <v>249</v>
      </c>
      <c r="B29" s="17"/>
      <c r="C29" s="17"/>
      <c r="D29" s="17"/>
      <c r="E29" s="17"/>
    </row>
    <row r="30" spans="1:5" ht="30" customHeight="1" x14ac:dyDescent="0.2">
      <c r="A30" s="8" t="s">
        <v>250</v>
      </c>
      <c r="B30" s="10" t="s">
        <v>251</v>
      </c>
      <c r="C30" s="8" t="s">
        <v>252</v>
      </c>
      <c r="D30" s="8" t="s">
        <v>253</v>
      </c>
      <c r="E30" s="8" t="s">
        <v>254</v>
      </c>
    </row>
    <row r="31" spans="1:5" ht="30" customHeight="1" x14ac:dyDescent="0.2">
      <c r="A31" s="8" t="s">
        <v>255</v>
      </c>
      <c r="B31" s="10" t="s">
        <v>251</v>
      </c>
      <c r="C31" s="8" t="s">
        <v>256</v>
      </c>
      <c r="D31" s="8" t="s">
        <v>253</v>
      </c>
      <c r="E31" s="8" t="s">
        <v>257</v>
      </c>
    </row>
    <row r="32" spans="1:5" ht="30" customHeight="1" x14ac:dyDescent="0.2">
      <c r="A32" s="8" t="s">
        <v>258</v>
      </c>
      <c r="B32" s="10" t="s">
        <v>259</v>
      </c>
      <c r="C32" s="8" t="s">
        <v>260</v>
      </c>
      <c r="D32" s="8" t="s">
        <v>216</v>
      </c>
      <c r="E32" s="8" t="s">
        <v>261</v>
      </c>
    </row>
    <row r="33" spans="1:5" ht="30" customHeight="1" x14ac:dyDescent="0.2">
      <c r="A33" s="8" t="s">
        <v>262</v>
      </c>
      <c r="B33" s="10" t="s">
        <v>259</v>
      </c>
      <c r="C33" s="8" t="s">
        <v>263</v>
      </c>
      <c r="D33" s="8" t="s">
        <v>216</v>
      </c>
      <c r="E33" s="8" t="s">
        <v>264</v>
      </c>
    </row>
    <row r="34" spans="1:5" ht="24" customHeight="1" x14ac:dyDescent="0.2">
      <c r="A34" s="17" t="s">
        <v>265</v>
      </c>
      <c r="B34" s="17"/>
      <c r="C34" s="17"/>
      <c r="D34" s="17"/>
      <c r="E34" s="17"/>
    </row>
    <row r="35" spans="1:5" ht="30" customHeight="1" x14ac:dyDescent="0.2">
      <c r="A35" s="8" t="s">
        <v>266</v>
      </c>
      <c r="B35" s="10" t="s">
        <v>267</v>
      </c>
      <c r="C35" s="8" t="s">
        <v>268</v>
      </c>
      <c r="D35" s="8" t="s">
        <v>269</v>
      </c>
      <c r="E35" s="8" t="s">
        <v>270</v>
      </c>
    </row>
    <row r="36" spans="1:5" ht="30" customHeight="1" x14ac:dyDescent="0.2">
      <c r="A36" s="8" t="s">
        <v>271</v>
      </c>
      <c r="B36" s="10" t="s">
        <v>272</v>
      </c>
      <c r="C36" s="8" t="s">
        <v>268</v>
      </c>
      <c r="D36" s="8" t="s">
        <v>273</v>
      </c>
      <c r="E36" s="8" t="s">
        <v>274</v>
      </c>
    </row>
    <row r="37" spans="1:5" ht="30" customHeight="1" x14ac:dyDescent="0.2">
      <c r="A37" s="8" t="s">
        <v>275</v>
      </c>
      <c r="B37" s="10" t="s">
        <v>276</v>
      </c>
      <c r="C37" s="8" t="s">
        <v>268</v>
      </c>
      <c r="D37" s="8" t="s">
        <v>277</v>
      </c>
      <c r="E37" s="8" t="s">
        <v>278</v>
      </c>
    </row>
    <row r="38" spans="1:5" ht="30" customHeight="1" x14ac:dyDescent="0.2">
      <c r="A38" s="8" t="s">
        <v>279</v>
      </c>
      <c r="B38" s="10" t="s">
        <v>280</v>
      </c>
      <c r="C38" s="8" t="s">
        <v>281</v>
      </c>
      <c r="D38" s="8" t="s">
        <v>282</v>
      </c>
      <c r="E38" s="8" t="s">
        <v>283</v>
      </c>
    </row>
    <row r="39" spans="1:5" ht="30" customHeight="1" x14ac:dyDescent="0.2">
      <c r="A39" s="8" t="s">
        <v>284</v>
      </c>
      <c r="B39" s="10" t="s">
        <v>285</v>
      </c>
      <c r="C39" s="8" t="s">
        <v>286</v>
      </c>
      <c r="D39" s="8" t="s">
        <v>287</v>
      </c>
      <c r="E39" s="8" t="s">
        <v>288</v>
      </c>
    </row>
    <row r="40" spans="1:5" ht="30" customHeight="1" x14ac:dyDescent="0.2">
      <c r="A40" s="8" t="s">
        <v>289</v>
      </c>
      <c r="B40" s="10" t="s">
        <v>290</v>
      </c>
      <c r="C40" s="8" t="s">
        <v>291</v>
      </c>
      <c r="D40" s="8" t="s">
        <v>292</v>
      </c>
      <c r="E40" s="8" t="s">
        <v>293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4" customWidth="1"/>
    <col min="3" max="3" width="50" customWidth="1"/>
    <col min="4" max="4" width="32" customWidth="1"/>
  </cols>
  <sheetData>
    <row r="1" spans="1:4" ht="36" customHeight="1" x14ac:dyDescent="0.2">
      <c r="A1" s="4" t="s">
        <v>294</v>
      </c>
      <c r="B1" s="4"/>
      <c r="C1" s="4"/>
      <c r="D1" s="4"/>
    </row>
    <row r="2" spans="1:4" ht="21.75" customHeight="1" x14ac:dyDescent="0.2">
      <c r="A2" s="3" t="s">
        <v>295</v>
      </c>
      <c r="B2" s="3"/>
      <c r="C2" s="3"/>
      <c r="D2" s="3"/>
    </row>
    <row r="4" spans="1:4" ht="27.75" customHeight="1" x14ac:dyDescent="0.2">
      <c r="A4" s="5" t="s">
        <v>296</v>
      </c>
      <c r="B4" s="5" t="s">
        <v>297</v>
      </c>
      <c r="C4" s="5" t="s">
        <v>298</v>
      </c>
      <c r="D4" s="5" t="s">
        <v>299</v>
      </c>
    </row>
    <row r="5" spans="1:4" ht="24" customHeight="1" x14ac:dyDescent="0.2">
      <c r="A5" s="17" t="s">
        <v>300</v>
      </c>
      <c r="B5" s="17"/>
      <c r="C5" s="17"/>
      <c r="D5" s="17"/>
    </row>
    <row r="6" spans="1:4" ht="31.5" customHeight="1" x14ac:dyDescent="0.2">
      <c r="A6" s="8" t="s">
        <v>301</v>
      </c>
      <c r="B6" s="8" t="s">
        <v>302</v>
      </c>
      <c r="C6" s="8" t="s">
        <v>303</v>
      </c>
      <c r="D6" s="8" t="s">
        <v>304</v>
      </c>
    </row>
    <row r="7" spans="1:4" ht="31.5" customHeight="1" x14ac:dyDescent="0.2">
      <c r="A7" s="8" t="s">
        <v>305</v>
      </c>
      <c r="B7" s="8" t="s">
        <v>306</v>
      </c>
      <c r="C7" s="8" t="s">
        <v>307</v>
      </c>
      <c r="D7" s="8" t="s">
        <v>308</v>
      </c>
    </row>
    <row r="8" spans="1:4" ht="31.5" customHeight="1" x14ac:dyDescent="0.2">
      <c r="A8" s="8" t="s">
        <v>309</v>
      </c>
      <c r="B8" s="8" t="s">
        <v>310</v>
      </c>
      <c r="C8" s="8" t="s">
        <v>311</v>
      </c>
      <c r="D8" s="8" t="s">
        <v>312</v>
      </c>
    </row>
    <row r="9" spans="1:4" ht="31.5" customHeight="1" x14ac:dyDescent="0.2">
      <c r="A9" s="8" t="s">
        <v>313</v>
      </c>
      <c r="B9" s="8" t="s">
        <v>314</v>
      </c>
      <c r="C9" s="8" t="s">
        <v>315</v>
      </c>
      <c r="D9" s="8" t="s">
        <v>316</v>
      </c>
    </row>
    <row r="10" spans="1:4" ht="31.5" customHeight="1" x14ac:dyDescent="0.2">
      <c r="A10" s="8" t="s">
        <v>317</v>
      </c>
      <c r="B10" s="8" t="s">
        <v>314</v>
      </c>
      <c r="C10" s="8" t="s">
        <v>318</v>
      </c>
      <c r="D10" s="8" t="s">
        <v>319</v>
      </c>
    </row>
    <row r="11" spans="1:4" ht="24" customHeight="1" x14ac:dyDescent="0.2">
      <c r="A11" s="17" t="s">
        <v>320</v>
      </c>
      <c r="B11" s="17"/>
      <c r="C11" s="17"/>
      <c r="D11" s="17"/>
    </row>
    <row r="12" spans="1:4" ht="31.5" customHeight="1" x14ac:dyDescent="0.2">
      <c r="A12" s="8" t="s">
        <v>321</v>
      </c>
      <c r="B12" s="8" t="s">
        <v>322</v>
      </c>
      <c r="C12" s="8" t="s">
        <v>323</v>
      </c>
      <c r="D12" s="8" t="s">
        <v>324</v>
      </c>
    </row>
    <row r="13" spans="1:4" ht="31.5" customHeight="1" x14ac:dyDescent="0.2">
      <c r="A13" s="8" t="s">
        <v>325</v>
      </c>
      <c r="B13" s="8" t="s">
        <v>326</v>
      </c>
      <c r="C13" s="8" t="s">
        <v>327</v>
      </c>
      <c r="D13" s="8" t="s">
        <v>328</v>
      </c>
    </row>
    <row r="14" spans="1:4" ht="24" customHeight="1" x14ac:dyDescent="0.2">
      <c r="A14" s="17" t="s">
        <v>329</v>
      </c>
      <c r="B14" s="17"/>
      <c r="C14" s="17"/>
      <c r="D14" s="17"/>
    </row>
    <row r="15" spans="1:4" ht="31.5" customHeight="1" x14ac:dyDescent="0.2">
      <c r="A15" s="8" t="s">
        <v>330</v>
      </c>
      <c r="B15" s="8" t="s">
        <v>331</v>
      </c>
      <c r="C15" s="8" t="s">
        <v>332</v>
      </c>
      <c r="D15" s="8" t="s">
        <v>333</v>
      </c>
    </row>
    <row r="16" spans="1:4" ht="31.5" customHeight="1" x14ac:dyDescent="0.2">
      <c r="A16" s="8" t="s">
        <v>334</v>
      </c>
      <c r="B16" s="8" t="s">
        <v>335</v>
      </c>
      <c r="C16" s="8" t="s">
        <v>336</v>
      </c>
      <c r="D16" s="8" t="s">
        <v>337</v>
      </c>
    </row>
    <row r="17" spans="1:4" ht="31.5" customHeight="1" x14ac:dyDescent="0.2">
      <c r="A17" s="8" t="s">
        <v>338</v>
      </c>
      <c r="B17" s="8" t="s">
        <v>339</v>
      </c>
      <c r="C17" s="8" t="s">
        <v>340</v>
      </c>
      <c r="D17" s="8" t="s">
        <v>341</v>
      </c>
    </row>
    <row r="18" spans="1:4" ht="31.5" customHeight="1" x14ac:dyDescent="0.2">
      <c r="A18" s="8" t="s">
        <v>342</v>
      </c>
      <c r="B18" s="8" t="s">
        <v>343</v>
      </c>
      <c r="C18" s="8" t="s">
        <v>344</v>
      </c>
      <c r="D18" s="8" t="s">
        <v>345</v>
      </c>
    </row>
    <row r="19" spans="1:4" ht="24" customHeight="1" x14ac:dyDescent="0.2">
      <c r="A19" s="17" t="s">
        <v>346</v>
      </c>
      <c r="B19" s="17"/>
      <c r="C19" s="17"/>
      <c r="D19" s="17"/>
    </row>
    <row r="20" spans="1:4" ht="31.5" customHeight="1" x14ac:dyDescent="0.2">
      <c r="A20" s="8" t="s">
        <v>347</v>
      </c>
      <c r="B20" s="8" t="s">
        <v>348</v>
      </c>
      <c r="C20" s="8" t="s">
        <v>349</v>
      </c>
      <c r="D20" s="8" t="s">
        <v>350</v>
      </c>
    </row>
    <row r="21" spans="1:4" ht="31.5" customHeight="1" x14ac:dyDescent="0.2">
      <c r="A21" s="8" t="s">
        <v>351</v>
      </c>
      <c r="B21" s="8" t="s">
        <v>352</v>
      </c>
      <c r="C21" s="8" t="s">
        <v>353</v>
      </c>
      <c r="D21" s="8" t="s">
        <v>354</v>
      </c>
    </row>
    <row r="22" spans="1:4" ht="31.5" customHeight="1" x14ac:dyDescent="0.2">
      <c r="A22" s="8" t="s">
        <v>355</v>
      </c>
      <c r="B22" s="8" t="s">
        <v>356</v>
      </c>
      <c r="C22" s="8" t="s">
        <v>357</v>
      </c>
      <c r="D22" s="8" t="s">
        <v>358</v>
      </c>
    </row>
    <row r="23" spans="1:4" ht="24" customHeight="1" x14ac:dyDescent="0.2">
      <c r="A23" s="17" t="s">
        <v>359</v>
      </c>
      <c r="B23" s="17"/>
      <c r="C23" s="17"/>
      <c r="D23" s="17"/>
    </row>
    <row r="24" spans="1:4" ht="31.5" customHeight="1" x14ac:dyDescent="0.2">
      <c r="A24" s="8" t="s">
        <v>360</v>
      </c>
      <c r="B24" s="8" t="s">
        <v>361</v>
      </c>
      <c r="C24" s="8" t="s">
        <v>362</v>
      </c>
      <c r="D24" s="8" t="s">
        <v>363</v>
      </c>
    </row>
    <row r="25" spans="1:4" ht="31.5" customHeight="1" x14ac:dyDescent="0.2">
      <c r="A25" s="8" t="s">
        <v>364</v>
      </c>
      <c r="B25" s="8" t="s">
        <v>365</v>
      </c>
      <c r="C25" s="8" t="s">
        <v>366</v>
      </c>
      <c r="D25" s="8" t="s">
        <v>367</v>
      </c>
    </row>
    <row r="26" spans="1:4" ht="31.5" customHeight="1" x14ac:dyDescent="0.2">
      <c r="A26" s="8" t="s">
        <v>368</v>
      </c>
      <c r="B26" s="8" t="s">
        <v>361</v>
      </c>
      <c r="C26" s="8" t="s">
        <v>369</v>
      </c>
      <c r="D26" s="8" t="s">
        <v>370</v>
      </c>
    </row>
    <row r="27" spans="1:4" ht="31.5" customHeight="1" x14ac:dyDescent="0.2">
      <c r="A27" s="8" t="s">
        <v>371</v>
      </c>
      <c r="B27" s="8" t="s">
        <v>372</v>
      </c>
      <c r="C27" s="8" t="s">
        <v>373</v>
      </c>
      <c r="D27" s="8" t="s">
        <v>374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6" customWidth="1"/>
    <col min="2" max="2" width="32" customWidth="1"/>
    <col min="3" max="3" width="50" customWidth="1"/>
  </cols>
  <sheetData>
    <row r="1" spans="1:3" ht="36" customHeight="1" x14ac:dyDescent="0.2">
      <c r="A1" s="4" t="s">
        <v>375</v>
      </c>
      <c r="B1" s="4"/>
      <c r="C1" s="4"/>
    </row>
    <row r="2" spans="1:3" ht="21.75" customHeight="1" x14ac:dyDescent="0.2">
      <c r="A2" s="3" t="s">
        <v>376</v>
      </c>
      <c r="B2" s="3"/>
      <c r="C2" s="3"/>
    </row>
    <row r="4" spans="1:3" ht="27.75" customHeight="1" x14ac:dyDescent="0.2">
      <c r="A4" s="5" t="s">
        <v>377</v>
      </c>
      <c r="B4" s="5" t="s">
        <v>378</v>
      </c>
      <c r="C4" s="5" t="s">
        <v>379</v>
      </c>
    </row>
    <row r="5" spans="1:3" ht="25.5" customHeight="1" x14ac:dyDescent="0.2">
      <c r="A5" s="17" t="s">
        <v>380</v>
      </c>
      <c r="B5" s="17"/>
      <c r="C5" s="17"/>
    </row>
    <row r="6" spans="1:3" ht="31.5" customHeight="1" x14ac:dyDescent="0.2">
      <c r="A6" s="20" t="s">
        <v>381</v>
      </c>
      <c r="B6" s="20" t="s">
        <v>382</v>
      </c>
      <c r="C6" s="20" t="s">
        <v>383</v>
      </c>
    </row>
    <row r="7" spans="1:3" ht="31.5" customHeight="1" x14ac:dyDescent="0.2">
      <c r="A7" s="20" t="s">
        <v>384</v>
      </c>
      <c r="B7" s="20" t="s">
        <v>385</v>
      </c>
      <c r="C7" s="20" t="s">
        <v>386</v>
      </c>
    </row>
    <row r="8" spans="1:3" ht="31.5" customHeight="1" x14ac:dyDescent="0.2">
      <c r="A8" s="20" t="s">
        <v>387</v>
      </c>
      <c r="B8" s="20" t="s">
        <v>388</v>
      </c>
      <c r="C8" s="20" t="s">
        <v>389</v>
      </c>
    </row>
    <row r="9" spans="1:3" ht="31.5" customHeight="1" x14ac:dyDescent="0.2">
      <c r="A9" s="20" t="s">
        <v>390</v>
      </c>
      <c r="B9" s="20" t="s">
        <v>391</v>
      </c>
      <c r="C9" s="20" t="s">
        <v>392</v>
      </c>
    </row>
    <row r="10" spans="1:3" ht="25.5" customHeight="1" x14ac:dyDescent="0.2">
      <c r="A10" s="17" t="s">
        <v>393</v>
      </c>
      <c r="B10" s="17"/>
      <c r="C10" s="17"/>
    </row>
    <row r="11" spans="1:3" ht="31.5" customHeight="1" x14ac:dyDescent="0.2">
      <c r="A11" s="21" t="s">
        <v>394</v>
      </c>
      <c r="B11" s="21" t="s">
        <v>395</v>
      </c>
      <c r="C11" s="21" t="s">
        <v>396</v>
      </c>
    </row>
    <row r="12" spans="1:3" ht="31.5" customHeight="1" x14ac:dyDescent="0.2">
      <c r="A12" s="21" t="s">
        <v>397</v>
      </c>
      <c r="B12" s="21" t="s">
        <v>398</v>
      </c>
      <c r="C12" s="21" t="s">
        <v>399</v>
      </c>
    </row>
    <row r="13" spans="1:3" ht="31.5" customHeight="1" x14ac:dyDescent="0.2">
      <c r="A13" s="21" t="s">
        <v>400</v>
      </c>
      <c r="B13" s="21" t="s">
        <v>401</v>
      </c>
      <c r="C13" s="21" t="s">
        <v>402</v>
      </c>
    </row>
    <row r="14" spans="1:3" ht="31.5" customHeight="1" x14ac:dyDescent="0.2">
      <c r="A14" s="21" t="s">
        <v>403</v>
      </c>
      <c r="B14" s="21" t="s">
        <v>404</v>
      </c>
      <c r="C14" s="21" t="s">
        <v>405</v>
      </c>
    </row>
    <row r="15" spans="1:3" ht="31.5" customHeight="1" x14ac:dyDescent="0.2">
      <c r="A15" s="21" t="s">
        <v>406</v>
      </c>
      <c r="B15" s="21" t="s">
        <v>407</v>
      </c>
      <c r="C15" s="21" t="s">
        <v>408</v>
      </c>
    </row>
    <row r="16" spans="1:3" ht="31.5" customHeight="1" x14ac:dyDescent="0.2">
      <c r="A16" s="21" t="s">
        <v>409</v>
      </c>
      <c r="B16" s="21" t="s">
        <v>410</v>
      </c>
      <c r="C16" s="21" t="s">
        <v>411</v>
      </c>
    </row>
    <row r="17" spans="1:3" ht="25.5" customHeight="1" x14ac:dyDescent="0.2">
      <c r="A17" s="17" t="s">
        <v>412</v>
      </c>
      <c r="B17" s="17"/>
      <c r="C17" s="17"/>
    </row>
    <row r="18" spans="1:3" ht="31.5" customHeight="1" x14ac:dyDescent="0.2">
      <c r="A18" s="22" t="s">
        <v>413</v>
      </c>
      <c r="B18" s="22" t="s">
        <v>414</v>
      </c>
      <c r="C18" s="22" t="s">
        <v>415</v>
      </c>
    </row>
    <row r="19" spans="1:3" ht="31.5" customHeight="1" x14ac:dyDescent="0.2">
      <c r="A19" s="22" t="s">
        <v>416</v>
      </c>
      <c r="B19" s="22" t="s">
        <v>417</v>
      </c>
      <c r="C19" s="22" t="s">
        <v>418</v>
      </c>
    </row>
    <row r="20" spans="1:3" ht="31.5" customHeight="1" x14ac:dyDescent="0.2">
      <c r="A20" s="22" t="s">
        <v>419</v>
      </c>
      <c r="B20" s="22" t="s">
        <v>420</v>
      </c>
      <c r="C20" s="22" t="s">
        <v>421</v>
      </c>
    </row>
    <row r="21" spans="1:3" ht="31.5" customHeight="1" x14ac:dyDescent="0.2">
      <c r="A21" s="22" t="s">
        <v>422</v>
      </c>
      <c r="B21" s="22" t="s">
        <v>423</v>
      </c>
      <c r="C21" s="22" t="s">
        <v>424</v>
      </c>
    </row>
    <row r="22" spans="1:3" ht="31.5" customHeight="1" x14ac:dyDescent="0.2">
      <c r="A22" s="22" t="s">
        <v>425</v>
      </c>
      <c r="B22" s="22" t="s">
        <v>426</v>
      </c>
      <c r="C22" s="22" t="s">
        <v>427</v>
      </c>
    </row>
    <row r="23" spans="1:3" ht="25.5" customHeight="1" x14ac:dyDescent="0.2">
      <c r="A23" s="17" t="s">
        <v>428</v>
      </c>
      <c r="B23" s="17"/>
      <c r="C23" s="17"/>
    </row>
    <row r="24" spans="1:3" ht="31.5" customHeight="1" x14ac:dyDescent="0.2">
      <c r="A24" s="23" t="s">
        <v>429</v>
      </c>
      <c r="B24" s="23" t="s">
        <v>430</v>
      </c>
      <c r="C24" s="23" t="s">
        <v>431</v>
      </c>
    </row>
    <row r="25" spans="1:3" ht="31.5" customHeight="1" x14ac:dyDescent="0.2">
      <c r="A25" s="23" t="s">
        <v>432</v>
      </c>
      <c r="B25" s="23" t="s">
        <v>433</v>
      </c>
      <c r="C25" s="23" t="s">
        <v>434</v>
      </c>
    </row>
    <row r="26" spans="1:3" ht="31.5" customHeight="1" x14ac:dyDescent="0.2">
      <c r="A26" s="23" t="s">
        <v>435</v>
      </c>
      <c r="B26" s="23" t="s">
        <v>436</v>
      </c>
      <c r="C26" s="23" t="s">
        <v>437</v>
      </c>
    </row>
    <row r="27" spans="1:3" ht="31.5" customHeight="1" x14ac:dyDescent="0.2">
      <c r="A27" s="23" t="s">
        <v>438</v>
      </c>
      <c r="B27" s="23" t="s">
        <v>439</v>
      </c>
      <c r="C27" s="23" t="s">
        <v>440</v>
      </c>
    </row>
    <row r="28" spans="1:3" ht="31.5" customHeight="1" x14ac:dyDescent="0.2">
      <c r="A28" s="23" t="s">
        <v>441</v>
      </c>
      <c r="B28" s="23" t="s">
        <v>442</v>
      </c>
      <c r="C28" s="23" t="s">
        <v>443</v>
      </c>
    </row>
    <row r="29" spans="1:3" ht="31.5" customHeight="1" x14ac:dyDescent="0.2">
      <c r="A29" s="23" t="s">
        <v>444</v>
      </c>
      <c r="B29" s="23" t="s">
        <v>445</v>
      </c>
      <c r="C29" s="23" t="s">
        <v>446</v>
      </c>
    </row>
    <row r="30" spans="1:3" ht="25.5" customHeight="1" x14ac:dyDescent="0.2">
      <c r="A30" s="17" t="s">
        <v>447</v>
      </c>
      <c r="B30" s="17"/>
      <c r="C30" s="17"/>
    </row>
    <row r="31" spans="1:3" ht="31.5" customHeight="1" x14ac:dyDescent="0.2">
      <c r="A31" s="10" t="s">
        <v>448</v>
      </c>
      <c r="B31" s="10" t="s">
        <v>449</v>
      </c>
      <c r="C31" s="10" t="s">
        <v>450</v>
      </c>
    </row>
    <row r="32" spans="1:3" ht="31.5" customHeight="1" x14ac:dyDescent="0.2">
      <c r="A32" s="10" t="s">
        <v>451</v>
      </c>
      <c r="B32" s="10" t="s">
        <v>452</v>
      </c>
      <c r="C32" s="10" t="s">
        <v>453</v>
      </c>
    </row>
    <row r="33" spans="1:3" ht="31.5" customHeight="1" x14ac:dyDescent="0.2">
      <c r="A33" s="10" t="s">
        <v>454</v>
      </c>
      <c r="B33" s="10" t="s">
        <v>455</v>
      </c>
      <c r="C33" s="10" t="s">
        <v>456</v>
      </c>
    </row>
    <row r="34" spans="1:3" ht="31.5" customHeight="1" x14ac:dyDescent="0.2">
      <c r="A34" s="10" t="s">
        <v>457</v>
      </c>
      <c r="B34" s="10" t="s">
        <v>458</v>
      </c>
      <c r="C34" s="10" t="s">
        <v>459</v>
      </c>
    </row>
    <row r="35" spans="1:3" ht="31.5" customHeight="1" x14ac:dyDescent="0.2">
      <c r="A35" s="10" t="s">
        <v>460</v>
      </c>
      <c r="B35" s="10" t="s">
        <v>461</v>
      </c>
      <c r="C35" s="10" t="s">
        <v>462</v>
      </c>
    </row>
    <row r="36" spans="1:3" ht="31.5" customHeight="1" x14ac:dyDescent="0.2">
      <c r="A36" s="10" t="s">
        <v>463</v>
      </c>
      <c r="B36" s="10" t="s">
        <v>464</v>
      </c>
      <c r="C36" s="10" t="s">
        <v>465</v>
      </c>
    </row>
    <row r="37" spans="1:3" ht="25.5" customHeight="1" x14ac:dyDescent="0.2">
      <c r="A37" s="17" t="s">
        <v>466</v>
      </c>
      <c r="B37" s="17"/>
      <c r="C37" s="17"/>
    </row>
    <row r="38" spans="1:3" ht="31.5" customHeight="1" x14ac:dyDescent="0.2">
      <c r="A38" s="11" t="s">
        <v>467</v>
      </c>
      <c r="B38" s="11" t="s">
        <v>468</v>
      </c>
      <c r="C38" s="11" t="s">
        <v>469</v>
      </c>
    </row>
    <row r="39" spans="1:3" ht="31.5" customHeight="1" x14ac:dyDescent="0.2">
      <c r="A39" s="11" t="s">
        <v>470</v>
      </c>
      <c r="B39" s="11" t="s">
        <v>471</v>
      </c>
      <c r="C39" s="11" t="s">
        <v>472</v>
      </c>
    </row>
    <row r="40" spans="1:3" ht="31.5" customHeight="1" x14ac:dyDescent="0.2">
      <c r="A40" s="11" t="s">
        <v>473</v>
      </c>
      <c r="B40" s="11" t="s">
        <v>474</v>
      </c>
      <c r="C40" s="11" t="s">
        <v>475</v>
      </c>
    </row>
    <row r="41" spans="1:3" ht="31.5" customHeight="1" x14ac:dyDescent="0.2">
      <c r="A41" s="11" t="s">
        <v>476</v>
      </c>
      <c r="B41" s="11" t="s">
        <v>477</v>
      </c>
      <c r="C41" s="11" t="s">
        <v>478</v>
      </c>
    </row>
    <row r="42" spans="1:3" ht="31.5" customHeight="1" x14ac:dyDescent="0.2">
      <c r="A42" s="11" t="s">
        <v>479</v>
      </c>
      <c r="B42" s="11" t="s">
        <v>480</v>
      </c>
      <c r="C42" s="11" t="s">
        <v>481</v>
      </c>
    </row>
    <row r="43" spans="1:3" ht="31.5" customHeight="1" x14ac:dyDescent="0.2">
      <c r="A43" s="11" t="s">
        <v>482</v>
      </c>
      <c r="B43" s="11" t="s">
        <v>483</v>
      </c>
      <c r="C43" s="11" t="s">
        <v>484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4" width="14" customWidth="1"/>
    <col min="5" max="5" width="16" customWidth="1"/>
    <col min="6" max="6" width="10" customWidth="1"/>
  </cols>
  <sheetData>
    <row r="1" spans="1:6" ht="36" customHeight="1" x14ac:dyDescent="0.2">
      <c r="A1" s="4" t="s">
        <v>485</v>
      </c>
      <c r="B1" s="4"/>
      <c r="C1" s="4"/>
      <c r="D1" s="4"/>
      <c r="E1" s="4"/>
      <c r="F1" s="4"/>
    </row>
    <row r="2" spans="1:6" ht="21.75" customHeight="1" x14ac:dyDescent="0.2">
      <c r="A2" s="3" t="s">
        <v>486</v>
      </c>
      <c r="B2" s="3"/>
      <c r="C2" s="3"/>
      <c r="D2" s="3"/>
      <c r="E2" s="3"/>
      <c r="F2" s="3"/>
    </row>
    <row r="4" spans="1:6" ht="27.75" customHeight="1" x14ac:dyDescent="0.2">
      <c r="A4" s="5" t="s">
        <v>4</v>
      </c>
      <c r="B4" s="5" t="s">
        <v>487</v>
      </c>
      <c r="C4" s="5" t="s">
        <v>488</v>
      </c>
      <c r="D4" s="5" t="s">
        <v>489</v>
      </c>
      <c r="E4" s="5" t="s">
        <v>490</v>
      </c>
      <c r="F4" s="5" t="s">
        <v>491</v>
      </c>
    </row>
    <row r="5" spans="1:6" ht="27.75" customHeight="1" x14ac:dyDescent="0.2">
      <c r="A5" s="24" t="s">
        <v>492</v>
      </c>
      <c r="B5" s="25">
        <v>60</v>
      </c>
      <c r="C5" s="25">
        <v>60</v>
      </c>
      <c r="D5" s="25">
        <v>30</v>
      </c>
      <c r="E5" s="26">
        <f t="shared" ref="E5:E12" si="0">SUM(B5:D5)</f>
        <v>150</v>
      </c>
      <c r="F5" s="25">
        <v>2</v>
      </c>
    </row>
    <row r="6" spans="1:6" ht="27.75" customHeight="1" x14ac:dyDescent="0.2">
      <c r="A6" s="24" t="s">
        <v>53</v>
      </c>
      <c r="B6" s="25">
        <v>120</v>
      </c>
      <c r="C6" s="25">
        <v>135</v>
      </c>
      <c r="D6" s="25">
        <v>40</v>
      </c>
      <c r="E6" s="26">
        <f t="shared" si="0"/>
        <v>295</v>
      </c>
      <c r="F6" s="25">
        <v>3</v>
      </c>
    </row>
    <row r="7" spans="1:6" ht="27.75" customHeight="1" x14ac:dyDescent="0.2">
      <c r="A7" s="24" t="s">
        <v>79</v>
      </c>
      <c r="B7" s="25">
        <v>120</v>
      </c>
      <c r="C7" s="25">
        <v>145</v>
      </c>
      <c r="D7" s="25">
        <v>50</v>
      </c>
      <c r="E7" s="26">
        <f t="shared" si="0"/>
        <v>315</v>
      </c>
      <c r="F7" s="25">
        <v>3</v>
      </c>
    </row>
    <row r="8" spans="1:6" ht="27.75" customHeight="1" x14ac:dyDescent="0.2">
      <c r="A8" s="24" t="s">
        <v>95</v>
      </c>
      <c r="B8" s="25">
        <v>120</v>
      </c>
      <c r="C8" s="25">
        <v>150</v>
      </c>
      <c r="D8" s="25">
        <v>45</v>
      </c>
      <c r="E8" s="26">
        <f t="shared" si="0"/>
        <v>315</v>
      </c>
      <c r="F8" s="25">
        <v>3</v>
      </c>
    </row>
    <row r="9" spans="1:6" ht="27.75" customHeight="1" x14ac:dyDescent="0.2">
      <c r="A9" s="24" t="s">
        <v>109</v>
      </c>
      <c r="B9" s="25">
        <v>120</v>
      </c>
      <c r="C9" s="25">
        <v>155</v>
      </c>
      <c r="D9" s="25">
        <v>55</v>
      </c>
      <c r="E9" s="26">
        <f t="shared" si="0"/>
        <v>330</v>
      </c>
      <c r="F9" s="25">
        <v>3</v>
      </c>
    </row>
    <row r="10" spans="1:6" ht="27.75" customHeight="1" x14ac:dyDescent="0.2">
      <c r="A10" s="24" t="s">
        <v>493</v>
      </c>
      <c r="B10" s="25">
        <v>120</v>
      </c>
      <c r="C10" s="25">
        <v>90</v>
      </c>
      <c r="D10" s="25">
        <v>40</v>
      </c>
      <c r="E10" s="26">
        <f t="shared" si="0"/>
        <v>250</v>
      </c>
      <c r="F10" s="25">
        <v>2</v>
      </c>
    </row>
    <row r="11" spans="1:6" ht="27.75" customHeight="1" x14ac:dyDescent="0.2">
      <c r="A11" s="24" t="s">
        <v>136</v>
      </c>
      <c r="B11" s="25">
        <v>120</v>
      </c>
      <c r="C11" s="25">
        <v>160</v>
      </c>
      <c r="D11" s="25">
        <v>60</v>
      </c>
      <c r="E11" s="26">
        <f t="shared" si="0"/>
        <v>340</v>
      </c>
      <c r="F11" s="25">
        <v>3</v>
      </c>
    </row>
    <row r="12" spans="1:6" ht="27.75" customHeight="1" x14ac:dyDescent="0.2">
      <c r="A12" s="24" t="s">
        <v>148</v>
      </c>
      <c r="B12" s="25">
        <v>120</v>
      </c>
      <c r="C12" s="25">
        <v>170</v>
      </c>
      <c r="D12" s="25">
        <v>70</v>
      </c>
      <c r="E12" s="26">
        <f t="shared" si="0"/>
        <v>360</v>
      </c>
      <c r="F12" s="25">
        <v>3</v>
      </c>
    </row>
    <row r="13" spans="1:6" ht="31.5" customHeight="1" x14ac:dyDescent="0.2">
      <c r="A13" s="27" t="s">
        <v>494</v>
      </c>
      <c r="B13" s="27">
        <f>SUM(B5:B12)</f>
        <v>900</v>
      </c>
      <c r="C13" s="27">
        <f>SUM(C5:C12)</f>
        <v>1065</v>
      </c>
      <c r="D13" s="27">
        <f>SUM(D5:D12)</f>
        <v>390</v>
      </c>
      <c r="E13" s="27">
        <f>SUM(E5:E12)</f>
        <v>2355</v>
      </c>
      <c r="F13" s="27">
        <f>SUM(F5:F12)</f>
        <v>22</v>
      </c>
    </row>
    <row r="16" spans="1:6" x14ac:dyDescent="0.2">
      <c r="A16" s="2" t="s">
        <v>495</v>
      </c>
      <c r="B16" s="2"/>
      <c r="C16" s="2"/>
      <c r="D16" s="2"/>
      <c r="E16" s="2"/>
      <c r="F16" s="2"/>
    </row>
    <row r="17" spans="1:6" ht="21.75" customHeight="1" x14ac:dyDescent="0.2">
      <c r="A17" s="1" t="s">
        <v>496</v>
      </c>
      <c r="B17" s="1"/>
      <c r="C17" s="1"/>
      <c r="D17" s="1"/>
      <c r="E17" s="1"/>
      <c r="F17" s="1"/>
    </row>
    <row r="18" spans="1:6" ht="21.75" customHeight="1" x14ac:dyDescent="0.2">
      <c r="A18" s="1" t="s">
        <v>497</v>
      </c>
      <c r="B18" s="1"/>
      <c r="C18" s="1"/>
      <c r="D18" s="1"/>
      <c r="E18" s="1"/>
      <c r="F18" s="1"/>
    </row>
    <row r="19" spans="1:6" ht="21.75" customHeight="1" x14ac:dyDescent="0.2">
      <c r="A19" s="1" t="s">
        <v>498</v>
      </c>
      <c r="B19" s="1"/>
      <c r="C19" s="1"/>
      <c r="D19" s="1"/>
      <c r="E19" s="1"/>
      <c r="F19" s="1"/>
    </row>
    <row r="20" spans="1:6" ht="21.75" customHeight="1" x14ac:dyDescent="0.2">
      <c r="A20" s="1" t="s">
        <v>499</v>
      </c>
      <c r="B20" s="1"/>
      <c r="C20" s="1"/>
      <c r="D20" s="1"/>
      <c r="E20" s="1"/>
      <c r="F20" s="1"/>
    </row>
    <row r="21" spans="1:6" ht="21.75" customHeight="1" x14ac:dyDescent="0.2">
      <c r="A21" s="1" t="s">
        <v>500</v>
      </c>
      <c r="B21" s="1"/>
      <c r="C21" s="1"/>
      <c r="D21" s="1"/>
      <c r="E21" s="1"/>
      <c r="F21" s="1"/>
    </row>
    <row r="22" spans="1:6" ht="21.75" customHeight="1" x14ac:dyDescent="0.2">
      <c r="A22" s="1" t="s">
        <v>501</v>
      </c>
      <c r="B22" s="1"/>
      <c r="C22" s="1"/>
      <c r="D22" s="1"/>
      <c r="E22" s="1"/>
      <c r="F22" s="1"/>
    </row>
    <row r="23" spans="1:6" ht="21.75" customHeight="1" x14ac:dyDescent="0.2">
      <c r="A23" s="1" t="s">
        <v>502</v>
      </c>
      <c r="B23" s="1"/>
      <c r="C23" s="1"/>
      <c r="D23" s="1"/>
      <c r="E23" s="1"/>
      <c r="F23" s="1"/>
    </row>
  </sheetData>
  <mergeCells count="10">
    <mergeCell ref="A19:F19"/>
    <mergeCell ref="A20:F20"/>
    <mergeCell ref="A21:F21"/>
    <mergeCell ref="A22:F22"/>
    <mergeCell ref="A23:F23"/>
    <mergeCell ref="A1:F1"/>
    <mergeCell ref="A2:F2"/>
    <mergeCell ref="A16:F16"/>
    <mergeCell ref="A17:F17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26" customWidth="1"/>
    <col min="3" max="3" width="32" customWidth="1"/>
    <col min="4" max="4" width="18" customWidth="1"/>
    <col min="5" max="5" width="50" customWidth="1"/>
  </cols>
  <sheetData>
    <row r="1" spans="1:5" ht="36" customHeight="1" x14ac:dyDescent="0.2">
      <c r="A1" s="4" t="s">
        <v>503</v>
      </c>
      <c r="B1" s="4"/>
      <c r="C1" s="4"/>
      <c r="D1" s="4"/>
      <c r="E1" s="4"/>
    </row>
    <row r="2" spans="1:5" ht="21.75" customHeight="1" x14ac:dyDescent="0.2">
      <c r="A2" s="3" t="s">
        <v>504</v>
      </c>
      <c r="B2" s="3"/>
      <c r="C2" s="3"/>
      <c r="D2" s="3"/>
      <c r="E2" s="3"/>
    </row>
    <row r="4" spans="1:5" ht="27.75" customHeight="1" x14ac:dyDescent="0.2">
      <c r="A4" s="5" t="s">
        <v>2</v>
      </c>
      <c r="B4" s="5" t="s">
        <v>505</v>
      </c>
      <c r="C4" s="5" t="s">
        <v>506</v>
      </c>
      <c r="D4" s="5" t="s">
        <v>167</v>
      </c>
      <c r="E4" s="5" t="s">
        <v>9</v>
      </c>
    </row>
    <row r="5" spans="1:5" ht="36" customHeight="1" x14ac:dyDescent="0.2">
      <c r="A5" s="10" t="s">
        <v>507</v>
      </c>
      <c r="B5" s="28" t="s">
        <v>508</v>
      </c>
      <c r="C5" s="10" t="s">
        <v>509</v>
      </c>
      <c r="D5" s="10" t="s">
        <v>510</v>
      </c>
      <c r="E5" s="10" t="s">
        <v>511</v>
      </c>
    </row>
    <row r="6" spans="1:5" ht="36" customHeight="1" x14ac:dyDescent="0.2">
      <c r="A6" s="10" t="s">
        <v>512</v>
      </c>
      <c r="B6" s="28" t="s">
        <v>513</v>
      </c>
      <c r="C6" s="10" t="s">
        <v>514</v>
      </c>
      <c r="D6" s="10" t="s">
        <v>515</v>
      </c>
      <c r="E6" s="10" t="s">
        <v>516</v>
      </c>
    </row>
    <row r="7" spans="1:5" ht="36" customHeight="1" x14ac:dyDescent="0.2">
      <c r="A7" s="10" t="s">
        <v>517</v>
      </c>
      <c r="B7" s="28" t="s">
        <v>518</v>
      </c>
      <c r="C7" s="10" t="s">
        <v>509</v>
      </c>
      <c r="D7" s="10" t="s">
        <v>214</v>
      </c>
      <c r="E7" s="10" t="s">
        <v>519</v>
      </c>
    </row>
    <row r="8" spans="1:5" ht="31.5" customHeight="1" x14ac:dyDescent="0.2">
      <c r="A8" s="29" t="s">
        <v>520</v>
      </c>
      <c r="B8" s="29" t="s">
        <v>521</v>
      </c>
      <c r="C8" s="29" t="s">
        <v>522</v>
      </c>
      <c r="D8" s="29" t="s">
        <v>523</v>
      </c>
      <c r="E8" s="29" t="s">
        <v>524</v>
      </c>
    </row>
    <row r="9" spans="1:5" ht="27.75" customHeight="1" x14ac:dyDescent="0.2">
      <c r="A9" s="30" t="s">
        <v>525</v>
      </c>
      <c r="B9" s="30" t="s">
        <v>526</v>
      </c>
      <c r="C9" s="30" t="s">
        <v>527</v>
      </c>
      <c r="D9" s="30" t="s">
        <v>528</v>
      </c>
      <c r="E9" s="30" t="s">
        <v>529</v>
      </c>
    </row>
    <row r="10" spans="1:5" ht="27.75" customHeight="1" x14ac:dyDescent="0.2">
      <c r="A10" s="30" t="s">
        <v>530</v>
      </c>
      <c r="B10" s="30" t="s">
        <v>531</v>
      </c>
      <c r="C10" s="30" t="s">
        <v>532</v>
      </c>
      <c r="D10" s="30" t="s">
        <v>533</v>
      </c>
      <c r="E10" s="30" t="s">
        <v>534</v>
      </c>
    </row>
    <row r="11" spans="1:5" ht="27.75" customHeight="1" x14ac:dyDescent="0.2">
      <c r="A11" s="30" t="s">
        <v>535</v>
      </c>
      <c r="B11" s="30" t="s">
        <v>536</v>
      </c>
      <c r="C11" s="30" t="s">
        <v>537</v>
      </c>
      <c r="D11" s="30" t="s">
        <v>533</v>
      </c>
      <c r="E11" s="30" t="s">
        <v>538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Training Schedule</vt:lpstr>
      <vt:lpstr>Gear &amp; Purchases</vt:lpstr>
      <vt:lpstr>Swim Sets Reference</vt:lpstr>
      <vt:lpstr>Principles &amp; Red Flags</vt:lpstr>
      <vt:lpstr>Volume Summary</vt:lpstr>
      <vt:lpstr>Race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Giuliana Franco</cp:lastModifiedBy>
  <cp:revision>0</cp:revision>
  <dcterms:created xsi:type="dcterms:W3CDTF">2026-05-04T19:24:43Z</dcterms:created>
  <dcterms:modified xsi:type="dcterms:W3CDTF">2026-05-18T14:55:14Z</dcterms:modified>
  <dc:language>en-US</dc:language>
</cp:coreProperties>
</file>